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9E7FA5-3AB3-4F4B-B9E7-E849DE4392E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tudent Mark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" i="1" l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<sst xmlns="http://schemas.openxmlformats.org/spreadsheetml/2006/main" count="118" uniqueCount="116">
  <si>
    <t>Student ID</t>
  </si>
  <si>
    <t>Student Name</t>
  </si>
  <si>
    <t>26MD201</t>
  </si>
  <si>
    <t>26MD202</t>
  </si>
  <si>
    <t>26MD203</t>
  </si>
  <si>
    <t>26MD204</t>
  </si>
  <si>
    <t>26MD205</t>
  </si>
  <si>
    <t>26MD206</t>
  </si>
  <si>
    <t>Total</t>
  </si>
  <si>
    <t>Percentage</t>
  </si>
  <si>
    <t>Faisal Patel</t>
  </si>
  <si>
    <t>Vihaan Dubey</t>
  </si>
  <si>
    <t>Ishita Rao</t>
  </si>
  <si>
    <t>Vikram Reddy</t>
  </si>
  <si>
    <t>Jyoti Patel</t>
  </si>
  <si>
    <t>Rakesh Dubey</t>
  </si>
  <si>
    <t>Parth Gupta</t>
  </si>
  <si>
    <t>Ira Kapoor</t>
  </si>
  <si>
    <t>Arjun Sharma</t>
  </si>
  <si>
    <t>Diya Iyer</t>
  </si>
  <si>
    <t>Aman Agarwal</t>
  </si>
  <si>
    <t>Tara Sharma</t>
  </si>
  <si>
    <t>Aisha Iyer</t>
  </si>
  <si>
    <t>Preeti Yadav</t>
  </si>
  <si>
    <t>Varun Bansal</t>
  </si>
  <si>
    <t>Seema Rao</t>
  </si>
  <si>
    <t>Asha Saxena</t>
  </si>
  <si>
    <t>Ishita Bhatt</t>
  </si>
  <si>
    <t>Aarav Trivedi</t>
  </si>
  <si>
    <t>Rohan Pandey</t>
  </si>
  <si>
    <t>Rekha Mehta</t>
  </si>
  <si>
    <t>Ishita Reddy</t>
  </si>
  <si>
    <t>Rahul Trivedi</t>
  </si>
  <si>
    <t>Manoj Patel</t>
  </si>
  <si>
    <t>Diya Desai</t>
  </si>
  <si>
    <t>Aadhya Joshi</t>
  </si>
  <si>
    <t>Sanjay Tiwari</t>
  </si>
  <si>
    <t>Sneha Bhatt</t>
  </si>
  <si>
    <t>Reyansh Dubey</t>
  </si>
  <si>
    <t>Kiran Bansal</t>
  </si>
  <si>
    <t>Pari Chandra</t>
  </si>
  <si>
    <t>Deepak Gupta</t>
  </si>
  <si>
    <t>Zara Kumar</t>
  </si>
  <si>
    <t>Sameer Tiwari</t>
  </si>
  <si>
    <t>Vijay Saxena</t>
  </si>
  <si>
    <t>Aryan Pandey</t>
  </si>
  <si>
    <t>Ishaan Verma</t>
  </si>
  <si>
    <t>Nitin Rao</t>
  </si>
  <si>
    <t>Sarita Kumar</t>
  </si>
  <si>
    <t>Ananya Chauhan</t>
  </si>
  <si>
    <t>Aman Chauhan</t>
  </si>
  <si>
    <t>Aadhya Desai</t>
  </si>
  <si>
    <t>Ishita Malhotra</t>
  </si>
  <si>
    <t>Faisal Shah</t>
  </si>
  <si>
    <t>Vijay Nair</t>
  </si>
  <si>
    <t>Ajay Joshi</t>
  </si>
  <si>
    <t>Yash Mishra</t>
  </si>
  <si>
    <t>Kavya Pandey</t>
  </si>
  <si>
    <t>Sandeep Yadav</t>
  </si>
  <si>
    <t>Shaurya Tiwari</t>
  </si>
  <si>
    <t>Faisal Nair</t>
  </si>
  <si>
    <t>Om Dubey</t>
  </si>
  <si>
    <t>Neha Nair</t>
  </si>
  <si>
    <t>Nisha Desai</t>
  </si>
  <si>
    <t>Kavya Chandra</t>
  </si>
  <si>
    <t>Faisal Pandey</t>
  </si>
  <si>
    <t>Aisha Rao</t>
  </si>
  <si>
    <t>Sandeep Mehta</t>
  </si>
  <si>
    <t>Sarita Trivedi</t>
  </si>
  <si>
    <t>Krishna Rao</t>
  </si>
  <si>
    <t>Arjun Bhatt</t>
  </si>
  <si>
    <t>Rajesh Desai</t>
  </si>
  <si>
    <t>Kavya Gupta</t>
  </si>
  <si>
    <t>Rahul Chandra</t>
  </si>
  <si>
    <t>Fatima Rathore</t>
  </si>
  <si>
    <t>Preeti Mehta</t>
  </si>
  <si>
    <t>Rahul Yadav</t>
  </si>
  <si>
    <t>Kabir Desai</t>
  </si>
  <si>
    <t>Imran Malhotra</t>
  </si>
  <si>
    <t>Kiara Singh</t>
  </si>
  <si>
    <t>Navya Rao</t>
  </si>
  <si>
    <t>Madhavi Bansal</t>
  </si>
  <si>
    <t>Om Singh</t>
  </si>
  <si>
    <t>Madhavi Saxena</t>
  </si>
  <si>
    <t>Rekha Rathore</t>
  </si>
  <si>
    <t>Alia Desai</t>
  </si>
  <si>
    <t>Vijay Rao</t>
  </si>
  <si>
    <t>Navya Agarwal</t>
  </si>
  <si>
    <t>Kabir Gupta</t>
  </si>
  <si>
    <t>Namrata Verma</t>
  </si>
  <si>
    <t>Myra Reddy</t>
  </si>
  <si>
    <t>Sameer Nair</t>
  </si>
  <si>
    <t>Sandeep Kapoor</t>
  </si>
  <si>
    <t>Naina Gupta</t>
  </si>
  <si>
    <t>Naveen Desai</t>
  </si>
  <si>
    <t>Naina Malhotra</t>
  </si>
  <si>
    <t>Atharv Singh</t>
  </si>
  <si>
    <t>Zara Chauhan</t>
  </si>
  <si>
    <t>Vivaan Mishra</t>
  </si>
  <si>
    <t>Shalini Patel</t>
  </si>
  <si>
    <t>Sandeep Rathore</t>
  </si>
  <si>
    <t>Om Trivedi</t>
  </si>
  <si>
    <t>Kavya Trivedi</t>
  </si>
  <si>
    <t>Imran Mehta</t>
  </si>
  <si>
    <t>Myra Kumar</t>
  </si>
  <si>
    <t>Usha Nair</t>
  </si>
  <si>
    <t>Kiran Sharma</t>
  </si>
  <si>
    <t>Shalini Rathore</t>
  </si>
  <si>
    <t>Shalini Singh</t>
  </si>
  <si>
    <t>Advait Trivedi</t>
  </si>
  <si>
    <t>Marathi</t>
  </si>
  <si>
    <t>English</t>
  </si>
  <si>
    <t>Physics</t>
  </si>
  <si>
    <t>Chemistry</t>
  </si>
  <si>
    <t>Maths</t>
  </si>
  <si>
    <t>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</si>
</sst>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Normal="100" workbookViewId="0">
      <pane ySplit="1" topLeftCell="A2" activePane="bottomLeft" state="frozen"/>
      <selection pane="bottomLeft" activeCell="Q13" sqref="Q13"/>
    </sheetView>
  </sheetViews>
  <sheetFormatPr defaultColWidth="8.7109375" defaultRowHeight="15" x14ac:dyDescent="0.25"/>
  <cols>
    <col min="1" max="1" width="14" customWidth="1"/>
    <col min="2" max="2" width="22" customWidth="1"/>
    <col min="3" max="8" width="12" customWidth="1"/>
    <col min="11" max="11" width="13.85546875" bestFit="1" customWidth="1"/>
    <col min="12" max="12" width="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s="2">
        <v>20260001</v>
      </c>
      <c r="B2" s="3" t="s">
        <v>10</v>
      </c>
      <c r="C2" s="2">
        <v>57</v>
      </c>
      <c r="D2" s="2">
        <v>99</v>
      </c>
      <c r="E2" s="2">
        <v>48</v>
      </c>
      <c r="F2" s="2">
        <v>73</v>
      </c>
      <c r="G2" s="2">
        <v>99</v>
      </c>
      <c r="H2" s="2">
        <v>60</v>
      </c>
    </row>
    <row r="3" spans="1:12" x14ac:dyDescent="0.25">
      <c r="A3" s="2">
        <v>20260002</v>
      </c>
      <c r="B3" s="3" t="s">
        <v>11</v>
      </c>
      <c r="C3" s="2">
        <v>54</v>
      </c>
      <c r="D3" s="2">
        <v>82</v>
      </c>
      <c r="E3" s="2">
        <v>55</v>
      </c>
      <c r="F3" s="2">
        <v>35</v>
      </c>
      <c r="G3" s="2">
        <v>76</v>
      </c>
      <c r="H3" s="2">
        <v>97</v>
      </c>
      <c r="K3" t="s">
        <v>0</v>
      </c>
      <c r="L3">
        <v>20260098</v>
      </c>
    </row>
    <row r="4" spans="1:12" x14ac:dyDescent="0.25">
      <c r="A4" s="2">
        <v>20260003</v>
      </c>
      <c r="B4" s="3" t="s">
        <v>12</v>
      </c>
      <c r="C4" s="2">
        <v>37</v>
      </c>
      <c r="D4" s="2">
        <v>49</v>
      </c>
      <c r="E4" s="2">
        <v>81</v>
      </c>
      <c r="F4" s="2">
        <v>74</v>
      </c>
      <c r="G4" s="2">
        <v>65</v>
      </c>
      <c r="H4" s="2">
        <v>42</v>
      </c>
      <c r="K4" t="s">
        <v>1</v>
      </c>
      <c r="L4" t="str">
        <f>VLOOKUP($L$3,$A$1:$H$101,2,0)</f>
        <v>Shalini Rathore</v>
      </c>
    </row>
    <row r="5" spans="1:12" x14ac:dyDescent="0.25">
      <c r="A5" s="2">
        <v>20260004</v>
      </c>
      <c r="B5" s="3" t="s">
        <v>13</v>
      </c>
      <c r="C5" s="2">
        <v>65</v>
      </c>
      <c r="D5" s="2">
        <v>45</v>
      </c>
      <c r="E5" s="2">
        <v>45</v>
      </c>
      <c r="F5" s="2">
        <v>97</v>
      </c>
      <c r="G5" s="2">
        <v>43</v>
      </c>
      <c r="H5" s="2">
        <v>51</v>
      </c>
      <c r="K5" t="s">
        <v>110</v>
      </c>
      <c r="L5">
        <f>VLOOKUP($L$3,$A$1:$H$101,3,0)</f>
        <v>44</v>
      </c>
    </row>
    <row r="6" spans="1:12" x14ac:dyDescent="0.25">
      <c r="A6" s="2">
        <v>20260005</v>
      </c>
      <c r="B6" s="3" t="s">
        <v>14</v>
      </c>
      <c r="C6" s="2">
        <v>51</v>
      </c>
      <c r="D6" s="2">
        <v>95</v>
      </c>
      <c r="E6" s="2">
        <v>56</v>
      </c>
      <c r="F6" s="2">
        <v>68</v>
      </c>
      <c r="G6" s="2">
        <v>89</v>
      </c>
      <c r="H6" s="2">
        <v>62</v>
      </c>
      <c r="K6" t="s">
        <v>111</v>
      </c>
      <c r="L6">
        <f>VLOOKUP($L$3,$A$1:$H$101,4,0)</f>
        <v>55</v>
      </c>
    </row>
    <row r="7" spans="1:12" x14ac:dyDescent="0.25">
      <c r="A7" s="2">
        <v>20260006</v>
      </c>
      <c r="B7" s="3" t="s">
        <v>15</v>
      </c>
      <c r="C7" s="2">
        <v>60</v>
      </c>
      <c r="D7" s="2">
        <v>74</v>
      </c>
      <c r="E7" s="2">
        <v>86</v>
      </c>
      <c r="F7" s="2">
        <v>82</v>
      </c>
      <c r="G7" s="2">
        <v>91</v>
      </c>
      <c r="H7" s="2">
        <v>92</v>
      </c>
      <c r="K7" t="s">
        <v>112</v>
      </c>
      <c r="L7">
        <f>VLOOKUP($L$3,$A$1:$H$101,5,0)</f>
        <v>35</v>
      </c>
    </row>
    <row r="8" spans="1:12" x14ac:dyDescent="0.25">
      <c r="A8" s="2">
        <v>20260007</v>
      </c>
      <c r="B8" s="3" t="s">
        <v>16</v>
      </c>
      <c r="C8" s="2">
        <v>50</v>
      </c>
      <c r="D8" s="2">
        <v>66</v>
      </c>
      <c r="E8" s="2">
        <v>63</v>
      </c>
      <c r="F8" s="2">
        <v>43</v>
      </c>
      <c r="G8" s="2">
        <v>78</v>
      </c>
      <c r="H8" s="2">
        <v>37</v>
      </c>
      <c r="K8" t="s">
        <v>113</v>
      </c>
      <c r="L8">
        <f>VLOOKUP($L$3,$A$1:$H$101,6,0)</f>
        <v>87</v>
      </c>
    </row>
    <row r="9" spans="1:12" x14ac:dyDescent="0.25">
      <c r="A9" s="2">
        <v>20260008</v>
      </c>
      <c r="B9" s="3" t="s">
        <v>17</v>
      </c>
      <c r="C9" s="2">
        <v>64</v>
      </c>
      <c r="D9" s="2">
        <v>63</v>
      </c>
      <c r="E9" s="2">
        <v>35</v>
      </c>
      <c r="F9" s="2">
        <v>44</v>
      </c>
      <c r="G9" s="2">
        <v>42</v>
      </c>
      <c r="H9" s="2">
        <v>64</v>
      </c>
      <c r="K9" t="s">
        <v>114</v>
      </c>
      <c r="L9">
        <f>VLOOKUP($L$3,$A$1:$H$101,7,0)</f>
        <v>92</v>
      </c>
    </row>
    <row r="10" spans="1:12" x14ac:dyDescent="0.25">
      <c r="A10" s="2">
        <v>20260009</v>
      </c>
      <c r="B10" s="3" t="s">
        <v>18</v>
      </c>
      <c r="C10" s="2">
        <v>43</v>
      </c>
      <c r="D10" s="2">
        <v>39</v>
      </c>
      <c r="E10" s="2">
        <v>77</v>
      </c>
      <c r="F10" s="2">
        <v>44</v>
      </c>
      <c r="G10" s="2">
        <v>100</v>
      </c>
      <c r="H10" s="2">
        <v>65</v>
      </c>
      <c r="K10" t="s">
        <v>115</v>
      </c>
      <c r="L10">
        <f>VLOOKUP($L$3,$A$1:$H$101,8,0)</f>
        <v>95</v>
      </c>
    </row>
    <row r="11" spans="1:12" x14ac:dyDescent="0.25">
      <c r="A11" s="2">
        <v>20260010</v>
      </c>
      <c r="B11" s="3" t="s">
        <v>19</v>
      </c>
      <c r="C11" s="2">
        <v>70</v>
      </c>
      <c r="D11" s="2">
        <v>97</v>
      </c>
      <c r="E11" s="2">
        <v>62</v>
      </c>
      <c r="F11" s="2">
        <v>51</v>
      </c>
      <c r="G11" s="2">
        <v>95</v>
      </c>
      <c r="H11" s="2">
        <v>66</v>
      </c>
      <c r="K11" t="s">
        <v>8</v>
      </c>
      <c r="L11">
        <f>SUM(L5:L10)</f>
        <v>408</v>
      </c>
    </row>
    <row r="12" spans="1:12" x14ac:dyDescent="0.25">
      <c r="A12" s="2">
        <v>20260011</v>
      </c>
      <c r="B12" s="3" t="s">
        <v>20</v>
      </c>
      <c r="C12" s="2">
        <v>95</v>
      </c>
      <c r="D12" s="2">
        <v>87</v>
      </c>
      <c r="E12" s="2">
        <v>59</v>
      </c>
      <c r="F12" s="2">
        <v>47</v>
      </c>
      <c r="G12" s="2">
        <v>47</v>
      </c>
      <c r="H12" s="2">
        <v>90</v>
      </c>
      <c r="K12" t="s">
        <v>9</v>
      </c>
      <c r="L12" s="4">
        <f>L11/600</f>
        <v>0.68</v>
      </c>
    </row>
    <row r="13" spans="1:12" x14ac:dyDescent="0.25">
      <c r="A13" s="2">
        <v>20260012</v>
      </c>
      <c r="B13" s="3" t="s">
        <v>21</v>
      </c>
      <c r="C13" s="2">
        <v>80</v>
      </c>
      <c r="D13" s="2">
        <v>89</v>
      </c>
      <c r="E13" s="2">
        <v>87</v>
      </c>
      <c r="F13" s="2">
        <v>94</v>
      </c>
      <c r="G13" s="2">
        <v>41</v>
      </c>
      <c r="H13" s="2">
        <v>47</v>
      </c>
    </row>
    <row r="14" spans="1:12" x14ac:dyDescent="0.25">
      <c r="A14" s="2">
        <v>20260013</v>
      </c>
      <c r="B14" s="3" t="s">
        <v>22</v>
      </c>
      <c r="C14" s="2">
        <v>42</v>
      </c>
      <c r="D14" s="2">
        <v>86</v>
      </c>
      <c r="E14" s="2">
        <v>78</v>
      </c>
      <c r="F14" s="2">
        <v>48</v>
      </c>
      <c r="G14" s="2">
        <v>66</v>
      </c>
      <c r="H14" s="2">
        <v>59</v>
      </c>
    </row>
    <row r="15" spans="1:12" x14ac:dyDescent="0.25">
      <c r="A15" s="2">
        <v>20260014</v>
      </c>
      <c r="B15" s="3" t="s">
        <v>23</v>
      </c>
      <c r="C15" s="2">
        <v>59</v>
      </c>
      <c r="D15" s="2">
        <v>92</v>
      </c>
      <c r="E15" s="2">
        <v>52</v>
      </c>
      <c r="F15" s="2">
        <v>89</v>
      </c>
      <c r="G15" s="2">
        <v>58</v>
      </c>
      <c r="H15" s="2">
        <v>70</v>
      </c>
    </row>
    <row r="16" spans="1:12" x14ac:dyDescent="0.25">
      <c r="A16" s="2">
        <v>20260015</v>
      </c>
      <c r="B16" s="3" t="s">
        <v>24</v>
      </c>
      <c r="C16" s="2">
        <v>94</v>
      </c>
      <c r="D16" s="2">
        <v>66</v>
      </c>
      <c r="E16" s="2">
        <v>44</v>
      </c>
      <c r="F16" s="2">
        <v>91</v>
      </c>
      <c r="G16" s="2">
        <v>47</v>
      </c>
      <c r="H16" s="2">
        <v>41</v>
      </c>
    </row>
    <row r="17" spans="1:8" x14ac:dyDescent="0.25">
      <c r="A17" s="2">
        <v>20260016</v>
      </c>
      <c r="B17" s="3" t="s">
        <v>25</v>
      </c>
      <c r="C17" s="2">
        <v>36</v>
      </c>
      <c r="D17" s="2">
        <v>46</v>
      </c>
      <c r="E17" s="2">
        <v>65</v>
      </c>
      <c r="F17" s="2">
        <v>56</v>
      </c>
      <c r="G17" s="2">
        <v>87</v>
      </c>
      <c r="H17" s="2">
        <v>97</v>
      </c>
    </row>
    <row r="18" spans="1:8" x14ac:dyDescent="0.25">
      <c r="A18" s="2">
        <v>20260017</v>
      </c>
      <c r="B18" s="3" t="s">
        <v>26</v>
      </c>
      <c r="C18" s="2">
        <v>96</v>
      </c>
      <c r="D18" s="2">
        <v>62</v>
      </c>
      <c r="E18" s="2">
        <v>86</v>
      </c>
      <c r="F18" s="2">
        <v>42</v>
      </c>
      <c r="G18" s="2">
        <v>56</v>
      </c>
      <c r="H18" s="2">
        <v>83</v>
      </c>
    </row>
    <row r="19" spans="1:8" x14ac:dyDescent="0.25">
      <c r="A19" s="2">
        <v>20260018</v>
      </c>
      <c r="B19" s="3" t="s">
        <v>27</v>
      </c>
      <c r="C19" s="2">
        <v>35</v>
      </c>
      <c r="D19" s="2">
        <v>84</v>
      </c>
      <c r="E19" s="2">
        <v>68</v>
      </c>
      <c r="F19" s="2">
        <v>93</v>
      </c>
      <c r="G19" s="2">
        <v>71</v>
      </c>
      <c r="H19" s="2">
        <v>89</v>
      </c>
    </row>
    <row r="20" spans="1:8" x14ac:dyDescent="0.25">
      <c r="A20" s="2">
        <v>20260019</v>
      </c>
      <c r="B20" s="3" t="s">
        <v>28</v>
      </c>
      <c r="C20" s="2">
        <v>97</v>
      </c>
      <c r="D20" s="2">
        <v>54</v>
      </c>
      <c r="E20" s="2">
        <v>59</v>
      </c>
      <c r="F20" s="2">
        <v>72</v>
      </c>
      <c r="G20" s="2">
        <v>62</v>
      </c>
      <c r="H20" s="2">
        <v>42</v>
      </c>
    </row>
    <row r="21" spans="1:8" x14ac:dyDescent="0.25">
      <c r="A21" s="2">
        <v>20260020</v>
      </c>
      <c r="B21" s="3" t="s">
        <v>29</v>
      </c>
      <c r="C21" s="2">
        <v>42</v>
      </c>
      <c r="D21" s="2">
        <v>75</v>
      </c>
      <c r="E21" s="2">
        <v>42</v>
      </c>
      <c r="F21" s="2">
        <v>41</v>
      </c>
      <c r="G21" s="2">
        <v>96</v>
      </c>
      <c r="H21" s="2">
        <v>99</v>
      </c>
    </row>
    <row r="22" spans="1:8" x14ac:dyDescent="0.25">
      <c r="A22" s="2">
        <v>20260021</v>
      </c>
      <c r="B22" s="3" t="s">
        <v>30</v>
      </c>
      <c r="C22" s="2">
        <v>55</v>
      </c>
      <c r="D22" s="2">
        <v>42</v>
      </c>
      <c r="E22" s="2">
        <v>100</v>
      </c>
      <c r="F22" s="2">
        <v>45</v>
      </c>
      <c r="G22" s="2">
        <v>58</v>
      </c>
      <c r="H22" s="2">
        <v>43</v>
      </c>
    </row>
    <row r="23" spans="1:8" x14ac:dyDescent="0.25">
      <c r="A23" s="2">
        <v>20260022</v>
      </c>
      <c r="B23" s="3" t="s">
        <v>31</v>
      </c>
      <c r="C23" s="2">
        <v>43</v>
      </c>
      <c r="D23" s="2">
        <v>65</v>
      </c>
      <c r="E23" s="2">
        <v>86</v>
      </c>
      <c r="F23" s="2">
        <v>50</v>
      </c>
      <c r="G23" s="2">
        <v>66</v>
      </c>
      <c r="H23" s="2">
        <v>40</v>
      </c>
    </row>
    <row r="24" spans="1:8" x14ac:dyDescent="0.25">
      <c r="A24" s="2">
        <v>20260023</v>
      </c>
      <c r="B24" s="3" t="s">
        <v>32</v>
      </c>
      <c r="C24" s="2">
        <v>45</v>
      </c>
      <c r="D24" s="2">
        <v>88</v>
      </c>
      <c r="E24" s="2">
        <v>75</v>
      </c>
      <c r="F24" s="2">
        <v>68</v>
      </c>
      <c r="G24" s="2">
        <v>61</v>
      </c>
      <c r="H24" s="2">
        <v>75</v>
      </c>
    </row>
    <row r="25" spans="1:8" x14ac:dyDescent="0.25">
      <c r="A25" s="2">
        <v>20260024</v>
      </c>
      <c r="B25" s="3" t="s">
        <v>33</v>
      </c>
      <c r="C25" s="2">
        <v>65</v>
      </c>
      <c r="D25" s="2">
        <v>68</v>
      </c>
      <c r="E25" s="2">
        <v>85</v>
      </c>
      <c r="F25" s="2">
        <v>51</v>
      </c>
      <c r="G25" s="2">
        <v>73</v>
      </c>
      <c r="H25" s="2">
        <v>93</v>
      </c>
    </row>
    <row r="26" spans="1:8" x14ac:dyDescent="0.25">
      <c r="A26" s="2">
        <v>20260025</v>
      </c>
      <c r="B26" s="3" t="s">
        <v>34</v>
      </c>
      <c r="C26" s="2">
        <v>75</v>
      </c>
      <c r="D26" s="2">
        <v>44</v>
      </c>
      <c r="E26" s="2">
        <v>36</v>
      </c>
      <c r="F26" s="2">
        <v>93</v>
      </c>
      <c r="G26" s="2">
        <v>47</v>
      </c>
      <c r="H26" s="2">
        <v>44</v>
      </c>
    </row>
    <row r="27" spans="1:8" x14ac:dyDescent="0.25">
      <c r="A27" s="2">
        <v>20260026</v>
      </c>
      <c r="B27" s="3" t="s">
        <v>35</v>
      </c>
      <c r="C27" s="2">
        <v>62</v>
      </c>
      <c r="D27" s="2">
        <v>99</v>
      </c>
      <c r="E27" s="2">
        <v>68</v>
      </c>
      <c r="F27" s="2">
        <v>51</v>
      </c>
      <c r="G27" s="2">
        <v>79</v>
      </c>
      <c r="H27" s="2">
        <v>43</v>
      </c>
    </row>
    <row r="28" spans="1:8" x14ac:dyDescent="0.25">
      <c r="A28" s="2">
        <v>20260027</v>
      </c>
      <c r="B28" s="3" t="s">
        <v>36</v>
      </c>
      <c r="C28" s="2">
        <v>66</v>
      </c>
      <c r="D28" s="2">
        <v>82</v>
      </c>
      <c r="E28" s="2">
        <v>71</v>
      </c>
      <c r="F28" s="2">
        <v>55</v>
      </c>
      <c r="G28" s="2">
        <v>91</v>
      </c>
      <c r="H28" s="2">
        <v>73</v>
      </c>
    </row>
    <row r="29" spans="1:8" x14ac:dyDescent="0.25">
      <c r="A29" s="2">
        <v>20260028</v>
      </c>
      <c r="B29" s="3" t="s">
        <v>37</v>
      </c>
      <c r="C29" s="2">
        <v>36</v>
      </c>
      <c r="D29" s="2">
        <v>73</v>
      </c>
      <c r="E29" s="2">
        <v>48</v>
      </c>
      <c r="F29" s="2">
        <v>52</v>
      </c>
      <c r="G29" s="2">
        <v>68</v>
      </c>
      <c r="H29" s="2">
        <v>49</v>
      </c>
    </row>
    <row r="30" spans="1:8" x14ac:dyDescent="0.25">
      <c r="A30" s="2">
        <v>20260029</v>
      </c>
      <c r="B30" s="3" t="s">
        <v>38</v>
      </c>
      <c r="C30" s="2">
        <v>48</v>
      </c>
      <c r="D30" s="2">
        <v>54</v>
      </c>
      <c r="E30" s="2">
        <v>69</v>
      </c>
      <c r="F30" s="2">
        <v>71</v>
      </c>
      <c r="G30" s="2">
        <v>61</v>
      </c>
      <c r="H30" s="2">
        <v>78</v>
      </c>
    </row>
    <row r="31" spans="1:8" x14ac:dyDescent="0.25">
      <c r="A31" s="2">
        <v>20260030</v>
      </c>
      <c r="B31" s="3" t="s">
        <v>39</v>
      </c>
      <c r="C31" s="2">
        <v>61</v>
      </c>
      <c r="D31" s="2">
        <v>68</v>
      </c>
      <c r="E31" s="2">
        <v>99</v>
      </c>
      <c r="F31" s="2">
        <v>97</v>
      </c>
      <c r="G31" s="2">
        <v>67</v>
      </c>
      <c r="H31" s="2">
        <v>41</v>
      </c>
    </row>
    <row r="32" spans="1:8" x14ac:dyDescent="0.25">
      <c r="A32" s="2">
        <v>20260031</v>
      </c>
      <c r="B32" s="3" t="s">
        <v>40</v>
      </c>
      <c r="C32" s="2">
        <v>46</v>
      </c>
      <c r="D32" s="2">
        <v>89</v>
      </c>
      <c r="E32" s="2">
        <v>70</v>
      </c>
      <c r="F32" s="2">
        <v>40</v>
      </c>
      <c r="G32" s="2">
        <v>35</v>
      </c>
      <c r="H32" s="2">
        <v>77</v>
      </c>
    </row>
    <row r="33" spans="1:8" x14ac:dyDescent="0.25">
      <c r="A33" s="2">
        <v>20260032</v>
      </c>
      <c r="B33" s="3" t="s">
        <v>41</v>
      </c>
      <c r="C33" s="2">
        <v>51</v>
      </c>
      <c r="D33" s="2">
        <v>68</v>
      </c>
      <c r="E33" s="2">
        <v>55</v>
      </c>
      <c r="F33" s="2">
        <v>91</v>
      </c>
      <c r="G33" s="2">
        <v>89</v>
      </c>
      <c r="H33" s="2">
        <v>36</v>
      </c>
    </row>
    <row r="34" spans="1:8" x14ac:dyDescent="0.25">
      <c r="A34" s="2">
        <v>20260033</v>
      </c>
      <c r="B34" s="3" t="s">
        <v>42</v>
      </c>
      <c r="C34" s="2">
        <v>49</v>
      </c>
      <c r="D34" s="2">
        <v>44</v>
      </c>
      <c r="E34" s="2">
        <v>54</v>
      </c>
      <c r="F34" s="2">
        <v>39</v>
      </c>
      <c r="G34" s="2">
        <v>82</v>
      </c>
      <c r="H34" s="2">
        <v>53</v>
      </c>
    </row>
    <row r="35" spans="1:8" x14ac:dyDescent="0.25">
      <c r="A35" s="2">
        <v>20260034</v>
      </c>
      <c r="B35" s="3" t="s">
        <v>43</v>
      </c>
      <c r="C35" s="2">
        <v>90</v>
      </c>
      <c r="D35" s="2">
        <v>51</v>
      </c>
      <c r="E35" s="2">
        <v>40</v>
      </c>
      <c r="F35" s="2">
        <v>74</v>
      </c>
      <c r="G35" s="2">
        <v>81</v>
      </c>
      <c r="H35" s="2">
        <v>40</v>
      </c>
    </row>
    <row r="36" spans="1:8" x14ac:dyDescent="0.25">
      <c r="A36" s="2">
        <v>20260035</v>
      </c>
      <c r="B36" s="3" t="s">
        <v>44</v>
      </c>
      <c r="C36" s="2">
        <v>80</v>
      </c>
      <c r="D36" s="2">
        <v>61</v>
      </c>
      <c r="E36" s="2">
        <v>66</v>
      </c>
      <c r="F36" s="2">
        <v>48</v>
      </c>
      <c r="G36" s="2">
        <v>80</v>
      </c>
      <c r="H36" s="2">
        <v>87</v>
      </c>
    </row>
    <row r="37" spans="1:8" x14ac:dyDescent="0.25">
      <c r="A37" s="2">
        <v>20260036</v>
      </c>
      <c r="B37" s="3" t="s">
        <v>45</v>
      </c>
      <c r="C37" s="2">
        <v>54</v>
      </c>
      <c r="D37" s="2">
        <v>65</v>
      </c>
      <c r="E37" s="2">
        <v>55</v>
      </c>
      <c r="F37" s="2">
        <v>57</v>
      </c>
      <c r="G37" s="2">
        <v>87</v>
      </c>
      <c r="H37" s="2">
        <v>38</v>
      </c>
    </row>
    <row r="38" spans="1:8" x14ac:dyDescent="0.25">
      <c r="A38" s="2">
        <v>20260037</v>
      </c>
      <c r="B38" s="3" t="s">
        <v>46</v>
      </c>
      <c r="C38" s="2">
        <v>57</v>
      </c>
      <c r="D38" s="2">
        <v>77</v>
      </c>
      <c r="E38" s="2">
        <v>87</v>
      </c>
      <c r="F38" s="2">
        <v>66</v>
      </c>
      <c r="G38" s="2">
        <v>69</v>
      </c>
      <c r="H38" s="2">
        <v>55</v>
      </c>
    </row>
    <row r="39" spans="1:8" x14ac:dyDescent="0.25">
      <c r="A39" s="2">
        <v>20260038</v>
      </c>
      <c r="B39" s="3" t="s">
        <v>47</v>
      </c>
      <c r="C39" s="2">
        <v>48</v>
      </c>
      <c r="D39" s="2">
        <v>83</v>
      </c>
      <c r="E39" s="2">
        <v>39</v>
      </c>
      <c r="F39" s="2">
        <v>95</v>
      </c>
      <c r="G39" s="2">
        <v>63</v>
      </c>
      <c r="H39" s="2">
        <v>60</v>
      </c>
    </row>
    <row r="40" spans="1:8" x14ac:dyDescent="0.25">
      <c r="A40" s="2">
        <v>20260039</v>
      </c>
      <c r="B40" s="3" t="s">
        <v>48</v>
      </c>
      <c r="C40" s="2">
        <v>93</v>
      </c>
      <c r="D40" s="2">
        <v>79</v>
      </c>
      <c r="E40" s="2">
        <v>74</v>
      </c>
      <c r="F40" s="2">
        <v>64</v>
      </c>
      <c r="G40" s="2">
        <v>63</v>
      </c>
      <c r="H40" s="2">
        <v>38</v>
      </c>
    </row>
    <row r="41" spans="1:8" x14ac:dyDescent="0.25">
      <c r="A41" s="2">
        <v>20260040</v>
      </c>
      <c r="B41" s="3" t="s">
        <v>49</v>
      </c>
      <c r="C41" s="2">
        <v>59</v>
      </c>
      <c r="D41" s="2">
        <v>86</v>
      </c>
      <c r="E41" s="2">
        <v>77</v>
      </c>
      <c r="F41" s="2">
        <v>70</v>
      </c>
      <c r="G41" s="2">
        <v>43</v>
      </c>
      <c r="H41" s="2">
        <v>70</v>
      </c>
    </row>
    <row r="42" spans="1:8" x14ac:dyDescent="0.25">
      <c r="A42" s="2">
        <v>20260041</v>
      </c>
      <c r="B42" s="3" t="s">
        <v>50</v>
      </c>
      <c r="C42" s="2">
        <v>79</v>
      </c>
      <c r="D42" s="2">
        <v>100</v>
      </c>
      <c r="E42" s="2">
        <v>86</v>
      </c>
      <c r="F42" s="2">
        <v>77</v>
      </c>
      <c r="G42" s="2">
        <v>38</v>
      </c>
      <c r="H42" s="2">
        <v>49</v>
      </c>
    </row>
    <row r="43" spans="1:8" x14ac:dyDescent="0.25">
      <c r="A43" s="2">
        <v>20260042</v>
      </c>
      <c r="B43" s="3" t="s">
        <v>51</v>
      </c>
      <c r="C43" s="2">
        <v>68</v>
      </c>
      <c r="D43" s="2">
        <v>57</v>
      </c>
      <c r="E43" s="2">
        <v>68</v>
      </c>
      <c r="F43" s="2">
        <v>39</v>
      </c>
      <c r="G43" s="2">
        <v>48</v>
      </c>
      <c r="H43" s="2">
        <v>90</v>
      </c>
    </row>
    <row r="44" spans="1:8" x14ac:dyDescent="0.25">
      <c r="A44" s="2">
        <v>20260043</v>
      </c>
      <c r="B44" s="3" t="s">
        <v>52</v>
      </c>
      <c r="C44" s="2">
        <v>79</v>
      </c>
      <c r="D44" s="2">
        <v>75</v>
      </c>
      <c r="E44" s="2">
        <v>90</v>
      </c>
      <c r="F44" s="2">
        <v>100</v>
      </c>
      <c r="G44" s="2">
        <v>49</v>
      </c>
      <c r="H44" s="2">
        <v>84</v>
      </c>
    </row>
    <row r="45" spans="1:8" x14ac:dyDescent="0.25">
      <c r="A45" s="2">
        <v>20260044</v>
      </c>
      <c r="B45" s="3" t="s">
        <v>53</v>
      </c>
      <c r="C45" s="2">
        <v>59</v>
      </c>
      <c r="D45" s="2">
        <v>67</v>
      </c>
      <c r="E45" s="2">
        <v>40</v>
      </c>
      <c r="F45" s="2">
        <v>90</v>
      </c>
      <c r="G45" s="2">
        <v>35</v>
      </c>
      <c r="H45" s="2">
        <v>60</v>
      </c>
    </row>
    <row r="46" spans="1:8" x14ac:dyDescent="0.25">
      <c r="A46" s="2">
        <v>20260045</v>
      </c>
      <c r="B46" s="3" t="s">
        <v>54</v>
      </c>
      <c r="C46" s="2">
        <v>81</v>
      </c>
      <c r="D46" s="2">
        <v>90</v>
      </c>
      <c r="E46" s="2">
        <v>43</v>
      </c>
      <c r="F46" s="2">
        <v>77</v>
      </c>
      <c r="G46" s="2">
        <v>75</v>
      </c>
      <c r="H46" s="2">
        <v>50</v>
      </c>
    </row>
    <row r="47" spans="1:8" x14ac:dyDescent="0.25">
      <c r="A47" s="2">
        <v>20260046</v>
      </c>
      <c r="B47" s="3" t="s">
        <v>55</v>
      </c>
      <c r="C47" s="2">
        <v>73</v>
      </c>
      <c r="D47" s="2">
        <v>99</v>
      </c>
      <c r="E47" s="2">
        <v>74</v>
      </c>
      <c r="F47" s="2">
        <v>87</v>
      </c>
      <c r="G47" s="2">
        <v>76</v>
      </c>
      <c r="H47" s="2">
        <v>86</v>
      </c>
    </row>
    <row r="48" spans="1:8" x14ac:dyDescent="0.25">
      <c r="A48" s="2">
        <v>20260047</v>
      </c>
      <c r="B48" s="3" t="s">
        <v>56</v>
      </c>
      <c r="C48" s="2">
        <v>72</v>
      </c>
      <c r="D48" s="2">
        <v>51</v>
      </c>
      <c r="E48" s="2">
        <v>59</v>
      </c>
      <c r="F48" s="2">
        <v>88</v>
      </c>
      <c r="G48" s="2">
        <v>83</v>
      </c>
      <c r="H48" s="2">
        <v>57</v>
      </c>
    </row>
    <row r="49" spans="1:8" x14ac:dyDescent="0.25">
      <c r="A49" s="2">
        <v>20260048</v>
      </c>
      <c r="B49" s="3" t="s">
        <v>57</v>
      </c>
      <c r="C49" s="2">
        <v>73</v>
      </c>
      <c r="D49" s="2">
        <v>86</v>
      </c>
      <c r="E49" s="2">
        <v>35</v>
      </c>
      <c r="F49" s="2">
        <v>73</v>
      </c>
      <c r="G49" s="2">
        <v>71</v>
      </c>
      <c r="H49" s="2">
        <v>61</v>
      </c>
    </row>
    <row r="50" spans="1:8" x14ac:dyDescent="0.25">
      <c r="A50" s="2">
        <v>20260049</v>
      </c>
      <c r="B50" s="3" t="s">
        <v>58</v>
      </c>
      <c r="C50" s="2">
        <v>90</v>
      </c>
      <c r="D50" s="2">
        <v>76</v>
      </c>
      <c r="E50" s="2">
        <v>94</v>
      </c>
      <c r="F50" s="2">
        <v>91</v>
      </c>
      <c r="G50" s="2">
        <v>91</v>
      </c>
      <c r="H50" s="2">
        <v>62</v>
      </c>
    </row>
    <row r="51" spans="1:8" x14ac:dyDescent="0.25">
      <c r="A51" s="2">
        <v>20260050</v>
      </c>
      <c r="B51" s="3" t="s">
        <v>59</v>
      </c>
      <c r="C51" s="2">
        <v>100</v>
      </c>
      <c r="D51" s="2">
        <v>95</v>
      </c>
      <c r="E51" s="2">
        <v>56</v>
      </c>
      <c r="F51" s="2">
        <v>45</v>
      </c>
      <c r="G51" s="2">
        <v>71</v>
      </c>
      <c r="H51" s="2">
        <v>100</v>
      </c>
    </row>
    <row r="52" spans="1:8" x14ac:dyDescent="0.25">
      <c r="A52" s="2">
        <v>20260051</v>
      </c>
      <c r="B52" s="3" t="s">
        <v>60</v>
      </c>
      <c r="C52" s="2">
        <v>77</v>
      </c>
      <c r="D52" s="2">
        <v>46</v>
      </c>
      <c r="E52" s="2">
        <v>65</v>
      </c>
      <c r="F52" s="2">
        <v>74</v>
      </c>
      <c r="G52" s="2">
        <v>63</v>
      </c>
      <c r="H52" s="2">
        <v>60</v>
      </c>
    </row>
    <row r="53" spans="1:8" x14ac:dyDescent="0.25">
      <c r="A53" s="2">
        <v>20260052</v>
      </c>
      <c r="B53" s="3" t="s">
        <v>61</v>
      </c>
      <c r="C53" s="2">
        <v>53</v>
      </c>
      <c r="D53" s="2">
        <v>38</v>
      </c>
      <c r="E53" s="2">
        <v>40</v>
      </c>
      <c r="F53" s="2">
        <v>66</v>
      </c>
      <c r="G53" s="2">
        <v>95</v>
      </c>
      <c r="H53" s="2">
        <v>44</v>
      </c>
    </row>
    <row r="54" spans="1:8" x14ac:dyDescent="0.25">
      <c r="A54" s="2">
        <v>20260053</v>
      </c>
      <c r="B54" s="3" t="s">
        <v>62</v>
      </c>
      <c r="C54" s="2">
        <v>93</v>
      </c>
      <c r="D54" s="2">
        <v>88</v>
      </c>
      <c r="E54" s="2">
        <v>59</v>
      </c>
      <c r="F54" s="2">
        <v>84</v>
      </c>
      <c r="G54" s="2">
        <v>98</v>
      </c>
      <c r="H54" s="2">
        <v>86</v>
      </c>
    </row>
    <row r="55" spans="1:8" x14ac:dyDescent="0.25">
      <c r="A55" s="2">
        <v>20260054</v>
      </c>
      <c r="B55" s="3" t="s">
        <v>63</v>
      </c>
      <c r="C55" s="2">
        <v>66</v>
      </c>
      <c r="D55" s="2">
        <v>53</v>
      </c>
      <c r="E55" s="2">
        <v>35</v>
      </c>
      <c r="F55" s="2">
        <v>48</v>
      </c>
      <c r="G55" s="2">
        <v>89</v>
      </c>
      <c r="H55" s="2">
        <v>63</v>
      </c>
    </row>
    <row r="56" spans="1:8" x14ac:dyDescent="0.25">
      <c r="A56" s="2">
        <v>20260055</v>
      </c>
      <c r="B56" s="3" t="s">
        <v>64</v>
      </c>
      <c r="C56" s="2">
        <v>57</v>
      </c>
      <c r="D56" s="2">
        <v>94</v>
      </c>
      <c r="E56" s="2">
        <v>41</v>
      </c>
      <c r="F56" s="2">
        <v>66</v>
      </c>
      <c r="G56" s="2">
        <v>50</v>
      </c>
      <c r="H56" s="2">
        <v>93</v>
      </c>
    </row>
    <row r="57" spans="1:8" x14ac:dyDescent="0.25">
      <c r="A57" s="2">
        <v>20260056</v>
      </c>
      <c r="B57" s="3" t="s">
        <v>65</v>
      </c>
      <c r="C57" s="2">
        <v>52</v>
      </c>
      <c r="D57" s="2">
        <v>94</v>
      </c>
      <c r="E57" s="2">
        <v>75</v>
      </c>
      <c r="F57" s="2">
        <v>91</v>
      </c>
      <c r="G57" s="2">
        <v>99</v>
      </c>
      <c r="H57" s="2">
        <v>89</v>
      </c>
    </row>
    <row r="58" spans="1:8" x14ac:dyDescent="0.25">
      <c r="A58" s="2">
        <v>20260057</v>
      </c>
      <c r="B58" s="3" t="s">
        <v>66</v>
      </c>
      <c r="C58" s="2">
        <v>92</v>
      </c>
      <c r="D58" s="2">
        <v>55</v>
      </c>
      <c r="E58" s="2">
        <v>95</v>
      </c>
      <c r="F58" s="2">
        <v>92</v>
      </c>
      <c r="G58" s="2">
        <v>68</v>
      </c>
      <c r="H58" s="2">
        <v>66</v>
      </c>
    </row>
    <row r="59" spans="1:8" x14ac:dyDescent="0.25">
      <c r="A59" s="2">
        <v>20260058</v>
      </c>
      <c r="B59" s="3" t="s">
        <v>67</v>
      </c>
      <c r="C59" s="2">
        <v>70</v>
      </c>
      <c r="D59" s="2">
        <v>97</v>
      </c>
      <c r="E59" s="2">
        <v>65</v>
      </c>
      <c r="F59" s="2">
        <v>70</v>
      </c>
      <c r="G59" s="2">
        <v>91</v>
      </c>
      <c r="H59" s="2">
        <v>44</v>
      </c>
    </row>
    <row r="60" spans="1:8" x14ac:dyDescent="0.25">
      <c r="A60" s="2">
        <v>20260059</v>
      </c>
      <c r="B60" s="3" t="s">
        <v>68</v>
      </c>
      <c r="C60" s="2">
        <v>71</v>
      </c>
      <c r="D60" s="2">
        <v>65</v>
      </c>
      <c r="E60" s="2">
        <v>69</v>
      </c>
      <c r="F60" s="2">
        <v>77</v>
      </c>
      <c r="G60" s="2">
        <v>75</v>
      </c>
      <c r="H60" s="2">
        <v>45</v>
      </c>
    </row>
    <row r="61" spans="1:8" x14ac:dyDescent="0.25">
      <c r="A61" s="2">
        <v>20260060</v>
      </c>
      <c r="B61" s="3" t="s">
        <v>69</v>
      </c>
      <c r="C61" s="2">
        <v>52</v>
      </c>
      <c r="D61" s="2">
        <v>54</v>
      </c>
      <c r="E61" s="2">
        <v>64</v>
      </c>
      <c r="F61" s="2">
        <v>84</v>
      </c>
      <c r="G61" s="2">
        <v>54</v>
      </c>
      <c r="H61" s="2">
        <v>62</v>
      </c>
    </row>
    <row r="62" spans="1:8" x14ac:dyDescent="0.25">
      <c r="A62" s="2">
        <v>20260061</v>
      </c>
      <c r="B62" s="3" t="s">
        <v>70</v>
      </c>
      <c r="C62" s="2">
        <v>43</v>
      </c>
      <c r="D62" s="2">
        <v>88</v>
      </c>
      <c r="E62" s="2">
        <v>87</v>
      </c>
      <c r="F62" s="2">
        <v>77</v>
      </c>
      <c r="G62" s="2">
        <v>94</v>
      </c>
      <c r="H62" s="2">
        <v>88</v>
      </c>
    </row>
    <row r="63" spans="1:8" x14ac:dyDescent="0.25">
      <c r="A63" s="2">
        <v>20260062</v>
      </c>
      <c r="B63" s="3" t="s">
        <v>71</v>
      </c>
      <c r="C63" s="2">
        <v>42</v>
      </c>
      <c r="D63" s="2">
        <v>61</v>
      </c>
      <c r="E63" s="2">
        <v>88</v>
      </c>
      <c r="F63" s="2">
        <v>84</v>
      </c>
      <c r="G63" s="2">
        <v>37</v>
      </c>
      <c r="H63" s="2">
        <v>83</v>
      </c>
    </row>
    <row r="64" spans="1:8" x14ac:dyDescent="0.25">
      <c r="A64" s="2">
        <v>20260063</v>
      </c>
      <c r="B64" s="3" t="s">
        <v>72</v>
      </c>
      <c r="C64" s="2">
        <v>96</v>
      </c>
      <c r="D64" s="2">
        <v>35</v>
      </c>
      <c r="E64" s="2">
        <v>80</v>
      </c>
      <c r="F64" s="2">
        <v>73</v>
      </c>
      <c r="G64" s="2">
        <v>84</v>
      </c>
      <c r="H64" s="2">
        <v>88</v>
      </c>
    </row>
    <row r="65" spans="1:8" x14ac:dyDescent="0.25">
      <c r="A65" s="2">
        <v>20260064</v>
      </c>
      <c r="B65" s="3" t="s">
        <v>73</v>
      </c>
      <c r="C65" s="2">
        <v>63</v>
      </c>
      <c r="D65" s="2">
        <v>97</v>
      </c>
      <c r="E65" s="2">
        <v>63</v>
      </c>
      <c r="F65" s="2">
        <v>69</v>
      </c>
      <c r="G65" s="2">
        <v>90</v>
      </c>
      <c r="H65" s="2">
        <v>97</v>
      </c>
    </row>
    <row r="66" spans="1:8" x14ac:dyDescent="0.25">
      <c r="A66" s="2">
        <v>20260065</v>
      </c>
      <c r="B66" s="3" t="s">
        <v>74</v>
      </c>
      <c r="C66" s="2">
        <v>38</v>
      </c>
      <c r="D66" s="2">
        <v>84</v>
      </c>
      <c r="E66" s="2">
        <v>78</v>
      </c>
      <c r="F66" s="2">
        <v>86</v>
      </c>
      <c r="G66" s="2">
        <v>56</v>
      </c>
      <c r="H66" s="2">
        <v>94</v>
      </c>
    </row>
    <row r="67" spans="1:8" x14ac:dyDescent="0.25">
      <c r="A67" s="2">
        <v>20260066</v>
      </c>
      <c r="B67" s="3" t="s">
        <v>75</v>
      </c>
      <c r="C67" s="2">
        <v>51</v>
      </c>
      <c r="D67" s="2">
        <v>38</v>
      </c>
      <c r="E67" s="2">
        <v>85</v>
      </c>
      <c r="F67" s="2">
        <v>38</v>
      </c>
      <c r="G67" s="2">
        <v>45</v>
      </c>
      <c r="H67" s="2">
        <v>89</v>
      </c>
    </row>
    <row r="68" spans="1:8" x14ac:dyDescent="0.25">
      <c r="A68" s="2">
        <v>20260067</v>
      </c>
      <c r="B68" s="3" t="s">
        <v>76</v>
      </c>
      <c r="C68" s="2">
        <v>52</v>
      </c>
      <c r="D68" s="2">
        <v>94</v>
      </c>
      <c r="E68" s="2">
        <v>58</v>
      </c>
      <c r="F68" s="2">
        <v>41</v>
      </c>
      <c r="G68" s="2">
        <v>68</v>
      </c>
      <c r="H68" s="2">
        <v>83</v>
      </c>
    </row>
    <row r="69" spans="1:8" x14ac:dyDescent="0.25">
      <c r="A69" s="2">
        <v>20260068</v>
      </c>
      <c r="B69" s="3" t="s">
        <v>77</v>
      </c>
      <c r="C69" s="2">
        <v>76</v>
      </c>
      <c r="D69" s="2">
        <v>62</v>
      </c>
      <c r="E69" s="2">
        <v>93</v>
      </c>
      <c r="F69" s="2">
        <v>76</v>
      </c>
      <c r="G69" s="2">
        <v>78</v>
      </c>
      <c r="H69" s="2">
        <v>83</v>
      </c>
    </row>
    <row r="70" spans="1:8" x14ac:dyDescent="0.25">
      <c r="A70" s="2">
        <v>20260069</v>
      </c>
      <c r="B70" s="3" t="s">
        <v>78</v>
      </c>
      <c r="C70" s="2">
        <v>70</v>
      </c>
      <c r="D70" s="2">
        <v>88</v>
      </c>
      <c r="E70" s="2">
        <v>67</v>
      </c>
      <c r="F70" s="2">
        <v>45</v>
      </c>
      <c r="G70" s="2">
        <v>95</v>
      </c>
      <c r="H70" s="2">
        <v>37</v>
      </c>
    </row>
    <row r="71" spans="1:8" x14ac:dyDescent="0.25">
      <c r="A71" s="2">
        <v>20260070</v>
      </c>
      <c r="B71" s="3" t="s">
        <v>79</v>
      </c>
      <c r="C71" s="2">
        <v>41</v>
      </c>
      <c r="D71" s="2">
        <v>79</v>
      </c>
      <c r="E71" s="2">
        <v>63</v>
      </c>
      <c r="F71" s="2">
        <v>43</v>
      </c>
      <c r="G71" s="2">
        <v>40</v>
      </c>
      <c r="H71" s="2">
        <v>38</v>
      </c>
    </row>
    <row r="72" spans="1:8" x14ac:dyDescent="0.25">
      <c r="A72" s="2">
        <v>20260071</v>
      </c>
      <c r="B72" s="3" t="s">
        <v>80</v>
      </c>
      <c r="C72" s="2">
        <v>66</v>
      </c>
      <c r="D72" s="2">
        <v>60</v>
      </c>
      <c r="E72" s="2">
        <v>37</v>
      </c>
      <c r="F72" s="2">
        <v>54</v>
      </c>
      <c r="G72" s="2">
        <v>65</v>
      </c>
      <c r="H72" s="2">
        <v>51</v>
      </c>
    </row>
    <row r="73" spans="1:8" x14ac:dyDescent="0.25">
      <c r="A73" s="2">
        <v>20260072</v>
      </c>
      <c r="B73" s="3" t="s">
        <v>81</v>
      </c>
      <c r="C73" s="2">
        <v>95</v>
      </c>
      <c r="D73" s="2">
        <v>49</v>
      </c>
      <c r="E73" s="2">
        <v>62</v>
      </c>
      <c r="F73" s="2">
        <v>94</v>
      </c>
      <c r="G73" s="2">
        <v>67</v>
      </c>
      <c r="H73" s="2">
        <v>82</v>
      </c>
    </row>
    <row r="74" spans="1:8" x14ac:dyDescent="0.25">
      <c r="A74" s="2">
        <v>20260073</v>
      </c>
      <c r="B74" s="3" t="s">
        <v>82</v>
      </c>
      <c r="C74" s="2">
        <v>56</v>
      </c>
      <c r="D74" s="2">
        <v>49</v>
      </c>
      <c r="E74" s="2">
        <v>55</v>
      </c>
      <c r="F74" s="2">
        <v>74</v>
      </c>
      <c r="G74" s="2">
        <v>48</v>
      </c>
      <c r="H74" s="2">
        <v>38</v>
      </c>
    </row>
    <row r="75" spans="1:8" x14ac:dyDescent="0.25">
      <c r="A75" s="2">
        <v>20260074</v>
      </c>
      <c r="B75" s="3" t="s">
        <v>83</v>
      </c>
      <c r="C75" s="2">
        <v>74</v>
      </c>
      <c r="D75" s="2">
        <v>83</v>
      </c>
      <c r="E75" s="2">
        <v>85</v>
      </c>
      <c r="F75" s="2">
        <v>60</v>
      </c>
      <c r="G75" s="2">
        <v>44</v>
      </c>
      <c r="H75" s="2">
        <v>66</v>
      </c>
    </row>
    <row r="76" spans="1:8" x14ac:dyDescent="0.25">
      <c r="A76" s="2">
        <v>20260075</v>
      </c>
      <c r="B76" s="3" t="s">
        <v>84</v>
      </c>
      <c r="C76" s="2">
        <v>48</v>
      </c>
      <c r="D76" s="2">
        <v>73</v>
      </c>
      <c r="E76" s="2">
        <v>50</v>
      </c>
      <c r="F76" s="2">
        <v>40</v>
      </c>
      <c r="G76" s="2">
        <v>79</v>
      </c>
      <c r="H76" s="2">
        <v>89</v>
      </c>
    </row>
    <row r="77" spans="1:8" x14ac:dyDescent="0.25">
      <c r="A77" s="2">
        <v>20260076</v>
      </c>
      <c r="B77" s="3" t="s">
        <v>85</v>
      </c>
      <c r="C77" s="2">
        <v>82</v>
      </c>
      <c r="D77" s="2">
        <v>43</v>
      </c>
      <c r="E77" s="2">
        <v>99</v>
      </c>
      <c r="F77" s="2">
        <v>78</v>
      </c>
      <c r="G77" s="2">
        <v>36</v>
      </c>
      <c r="H77" s="2">
        <v>88</v>
      </c>
    </row>
    <row r="78" spans="1:8" x14ac:dyDescent="0.25">
      <c r="A78" s="2">
        <v>20260077</v>
      </c>
      <c r="B78" s="3" t="s">
        <v>86</v>
      </c>
      <c r="C78" s="2">
        <v>97</v>
      </c>
      <c r="D78" s="2">
        <v>48</v>
      </c>
      <c r="E78" s="2">
        <v>90</v>
      </c>
      <c r="F78" s="2">
        <v>81</v>
      </c>
      <c r="G78" s="2">
        <v>93</v>
      </c>
      <c r="H78" s="2">
        <v>54</v>
      </c>
    </row>
    <row r="79" spans="1:8" x14ac:dyDescent="0.25">
      <c r="A79" s="2">
        <v>20260078</v>
      </c>
      <c r="B79" s="3" t="s">
        <v>87</v>
      </c>
      <c r="C79" s="2">
        <v>90</v>
      </c>
      <c r="D79" s="2">
        <v>57</v>
      </c>
      <c r="E79" s="2">
        <v>69</v>
      </c>
      <c r="F79" s="2">
        <v>96</v>
      </c>
      <c r="G79" s="2">
        <v>94</v>
      </c>
      <c r="H79" s="2">
        <v>90</v>
      </c>
    </row>
    <row r="80" spans="1:8" x14ac:dyDescent="0.25">
      <c r="A80" s="2">
        <v>20260079</v>
      </c>
      <c r="B80" s="3" t="s">
        <v>88</v>
      </c>
      <c r="C80" s="2">
        <v>69</v>
      </c>
      <c r="D80" s="2">
        <v>76</v>
      </c>
      <c r="E80" s="2">
        <v>66</v>
      </c>
      <c r="F80" s="2">
        <v>46</v>
      </c>
      <c r="G80" s="2">
        <v>70</v>
      </c>
      <c r="H80" s="2">
        <v>92</v>
      </c>
    </row>
    <row r="81" spans="1:8" x14ac:dyDescent="0.25">
      <c r="A81" s="2">
        <v>20260080</v>
      </c>
      <c r="B81" s="3" t="s">
        <v>89</v>
      </c>
      <c r="C81" s="2">
        <v>66</v>
      </c>
      <c r="D81" s="2">
        <v>94</v>
      </c>
      <c r="E81" s="2">
        <v>83</v>
      </c>
      <c r="F81" s="2">
        <v>78</v>
      </c>
      <c r="G81" s="2">
        <v>38</v>
      </c>
      <c r="H81" s="2">
        <v>98</v>
      </c>
    </row>
    <row r="82" spans="1:8" x14ac:dyDescent="0.25">
      <c r="A82" s="2">
        <v>20260081</v>
      </c>
      <c r="B82" s="3" t="s">
        <v>90</v>
      </c>
      <c r="C82" s="2">
        <v>76</v>
      </c>
      <c r="D82" s="2">
        <v>58</v>
      </c>
      <c r="E82" s="2">
        <v>97</v>
      </c>
      <c r="F82" s="2">
        <v>62</v>
      </c>
      <c r="G82" s="2">
        <v>80</v>
      </c>
      <c r="H82" s="2">
        <v>68</v>
      </c>
    </row>
    <row r="83" spans="1:8" x14ac:dyDescent="0.25">
      <c r="A83" s="2">
        <v>20260082</v>
      </c>
      <c r="B83" s="3" t="s">
        <v>91</v>
      </c>
      <c r="C83" s="2">
        <v>78</v>
      </c>
      <c r="D83" s="2">
        <v>70</v>
      </c>
      <c r="E83" s="2">
        <v>70</v>
      </c>
      <c r="F83" s="2">
        <v>36</v>
      </c>
      <c r="G83" s="2">
        <v>59</v>
      </c>
      <c r="H83" s="2">
        <v>45</v>
      </c>
    </row>
    <row r="84" spans="1:8" x14ac:dyDescent="0.25">
      <c r="A84" s="2">
        <v>20260083</v>
      </c>
      <c r="B84" s="3" t="s">
        <v>92</v>
      </c>
      <c r="C84" s="2">
        <v>65</v>
      </c>
      <c r="D84" s="2">
        <v>87</v>
      </c>
      <c r="E84" s="2">
        <v>97</v>
      </c>
      <c r="F84" s="2">
        <v>65</v>
      </c>
      <c r="G84" s="2">
        <v>95</v>
      </c>
      <c r="H84" s="2">
        <v>97</v>
      </c>
    </row>
    <row r="85" spans="1:8" x14ac:dyDescent="0.25">
      <c r="A85" s="2">
        <v>20260084</v>
      </c>
      <c r="B85" s="3" t="s">
        <v>93</v>
      </c>
      <c r="C85" s="2">
        <v>92</v>
      </c>
      <c r="D85" s="2">
        <v>37</v>
      </c>
      <c r="E85" s="2">
        <v>46</v>
      </c>
      <c r="F85" s="2">
        <v>72</v>
      </c>
      <c r="G85" s="2">
        <v>63</v>
      </c>
      <c r="H85" s="2">
        <v>86</v>
      </c>
    </row>
    <row r="86" spans="1:8" x14ac:dyDescent="0.25">
      <c r="A86" s="2">
        <v>20260085</v>
      </c>
      <c r="B86" s="3" t="s">
        <v>94</v>
      </c>
      <c r="C86" s="2">
        <v>66</v>
      </c>
      <c r="D86" s="2">
        <v>74</v>
      </c>
      <c r="E86" s="2">
        <v>82</v>
      </c>
      <c r="F86" s="2">
        <v>95</v>
      </c>
      <c r="G86" s="2">
        <v>79</v>
      </c>
      <c r="H86" s="2">
        <v>89</v>
      </c>
    </row>
    <row r="87" spans="1:8" x14ac:dyDescent="0.25">
      <c r="A87" s="2">
        <v>20260086</v>
      </c>
      <c r="B87" s="3" t="s">
        <v>95</v>
      </c>
      <c r="C87" s="2">
        <v>77</v>
      </c>
      <c r="D87" s="2">
        <v>80</v>
      </c>
      <c r="E87" s="2">
        <v>93</v>
      </c>
      <c r="F87" s="2">
        <v>69</v>
      </c>
      <c r="G87" s="2">
        <v>74</v>
      </c>
      <c r="H87" s="2">
        <v>67</v>
      </c>
    </row>
    <row r="88" spans="1:8" x14ac:dyDescent="0.25">
      <c r="A88" s="2">
        <v>20260087</v>
      </c>
      <c r="B88" s="3" t="s">
        <v>96</v>
      </c>
      <c r="C88" s="2">
        <v>64</v>
      </c>
      <c r="D88" s="2">
        <v>50</v>
      </c>
      <c r="E88" s="2">
        <v>59</v>
      </c>
      <c r="F88" s="2">
        <v>75</v>
      </c>
      <c r="G88" s="2">
        <v>50</v>
      </c>
      <c r="H88" s="2">
        <v>58</v>
      </c>
    </row>
    <row r="89" spans="1:8" x14ac:dyDescent="0.25">
      <c r="A89" s="2">
        <v>20260088</v>
      </c>
      <c r="B89" s="3" t="s">
        <v>97</v>
      </c>
      <c r="C89" s="2">
        <v>59</v>
      </c>
      <c r="D89" s="2">
        <v>62</v>
      </c>
      <c r="E89" s="2">
        <v>96</v>
      </c>
      <c r="F89" s="2">
        <v>70</v>
      </c>
      <c r="G89" s="2">
        <v>71</v>
      </c>
      <c r="H89" s="2">
        <v>47</v>
      </c>
    </row>
    <row r="90" spans="1:8" x14ac:dyDescent="0.25">
      <c r="A90" s="2">
        <v>20260089</v>
      </c>
      <c r="B90" s="3" t="s">
        <v>98</v>
      </c>
      <c r="C90" s="2">
        <v>59</v>
      </c>
      <c r="D90" s="2">
        <v>72</v>
      </c>
      <c r="E90" s="2">
        <v>64</v>
      </c>
      <c r="F90" s="2">
        <v>81</v>
      </c>
      <c r="G90" s="2">
        <v>57</v>
      </c>
      <c r="H90" s="2">
        <v>73</v>
      </c>
    </row>
    <row r="91" spans="1:8" x14ac:dyDescent="0.25">
      <c r="A91" s="2">
        <v>20260090</v>
      </c>
      <c r="B91" s="3" t="s">
        <v>99</v>
      </c>
      <c r="C91" s="2">
        <v>36</v>
      </c>
      <c r="D91" s="2">
        <v>51</v>
      </c>
      <c r="E91" s="2">
        <v>70</v>
      </c>
      <c r="F91" s="2">
        <v>40</v>
      </c>
      <c r="G91" s="2">
        <v>41</v>
      </c>
      <c r="H91" s="2">
        <v>72</v>
      </c>
    </row>
    <row r="92" spans="1:8" x14ac:dyDescent="0.25">
      <c r="A92" s="2">
        <v>20260091</v>
      </c>
      <c r="B92" s="3" t="s">
        <v>100</v>
      </c>
      <c r="C92" s="2">
        <v>51</v>
      </c>
      <c r="D92" s="2">
        <v>97</v>
      </c>
      <c r="E92" s="2">
        <v>48</v>
      </c>
      <c r="F92" s="2">
        <v>36</v>
      </c>
      <c r="G92" s="2">
        <v>71</v>
      </c>
      <c r="H92" s="2">
        <v>95</v>
      </c>
    </row>
    <row r="93" spans="1:8" x14ac:dyDescent="0.25">
      <c r="A93" s="2">
        <v>20260092</v>
      </c>
      <c r="B93" s="3" t="s">
        <v>101</v>
      </c>
      <c r="C93" s="2">
        <v>96</v>
      </c>
      <c r="D93" s="2">
        <v>91</v>
      </c>
      <c r="E93" s="2">
        <v>78</v>
      </c>
      <c r="F93" s="2">
        <v>58</v>
      </c>
      <c r="G93" s="2">
        <v>41</v>
      </c>
      <c r="H93" s="2">
        <v>67</v>
      </c>
    </row>
    <row r="94" spans="1:8" x14ac:dyDescent="0.25">
      <c r="A94" s="2">
        <v>20260093</v>
      </c>
      <c r="B94" s="3" t="s">
        <v>102</v>
      </c>
      <c r="C94" s="2">
        <v>96</v>
      </c>
      <c r="D94" s="2">
        <v>49</v>
      </c>
      <c r="E94" s="2">
        <v>43</v>
      </c>
      <c r="F94" s="2">
        <v>86</v>
      </c>
      <c r="G94" s="2">
        <v>97</v>
      </c>
      <c r="H94" s="2">
        <v>44</v>
      </c>
    </row>
    <row r="95" spans="1:8" x14ac:dyDescent="0.25">
      <c r="A95" s="2">
        <v>20260094</v>
      </c>
      <c r="B95" s="3" t="s">
        <v>103</v>
      </c>
      <c r="C95" s="2">
        <v>41</v>
      </c>
      <c r="D95" s="2">
        <v>54</v>
      </c>
      <c r="E95" s="2">
        <v>54</v>
      </c>
      <c r="F95" s="2">
        <v>73</v>
      </c>
      <c r="G95" s="2">
        <v>45</v>
      </c>
      <c r="H95" s="2">
        <v>66</v>
      </c>
    </row>
    <row r="96" spans="1:8" x14ac:dyDescent="0.25">
      <c r="A96" s="2">
        <v>20260095</v>
      </c>
      <c r="B96" s="3" t="s">
        <v>104</v>
      </c>
      <c r="C96" s="2">
        <v>50</v>
      </c>
      <c r="D96" s="2">
        <v>88</v>
      </c>
      <c r="E96" s="2">
        <v>63</v>
      </c>
      <c r="F96" s="2">
        <v>83</v>
      </c>
      <c r="G96" s="2">
        <v>92</v>
      </c>
      <c r="H96" s="2">
        <v>91</v>
      </c>
    </row>
    <row r="97" spans="1:8" x14ac:dyDescent="0.25">
      <c r="A97" s="2">
        <v>20260096</v>
      </c>
      <c r="B97" s="3" t="s">
        <v>105</v>
      </c>
      <c r="C97" s="2">
        <v>73</v>
      </c>
      <c r="D97" s="2">
        <v>89</v>
      </c>
      <c r="E97" s="2">
        <v>74</v>
      </c>
      <c r="F97" s="2">
        <v>42</v>
      </c>
      <c r="G97" s="2">
        <v>47</v>
      </c>
      <c r="H97" s="2">
        <v>61</v>
      </c>
    </row>
    <row r="98" spans="1:8" x14ac:dyDescent="0.25">
      <c r="A98" s="2">
        <v>20260097</v>
      </c>
      <c r="B98" s="3" t="s">
        <v>106</v>
      </c>
      <c r="C98" s="2">
        <v>62</v>
      </c>
      <c r="D98" s="2">
        <v>68</v>
      </c>
      <c r="E98" s="2">
        <v>45</v>
      </c>
      <c r="F98" s="2">
        <v>55</v>
      </c>
      <c r="G98" s="2">
        <v>65</v>
      </c>
      <c r="H98" s="2">
        <v>57</v>
      </c>
    </row>
    <row r="99" spans="1:8" x14ac:dyDescent="0.25">
      <c r="A99" s="2">
        <v>20260098</v>
      </c>
      <c r="B99" s="3" t="s">
        <v>107</v>
      </c>
      <c r="C99" s="2">
        <v>44</v>
      </c>
      <c r="D99" s="2">
        <v>55</v>
      </c>
      <c r="E99" s="2">
        <v>35</v>
      </c>
      <c r="F99" s="2">
        <v>87</v>
      </c>
      <c r="G99" s="2">
        <v>92</v>
      </c>
      <c r="H99" s="2">
        <v>95</v>
      </c>
    </row>
    <row r="100" spans="1:8" x14ac:dyDescent="0.25">
      <c r="A100" s="2">
        <v>20260099</v>
      </c>
      <c r="B100" s="3" t="s">
        <v>108</v>
      </c>
      <c r="C100" s="2">
        <v>72</v>
      </c>
      <c r="D100" s="2">
        <v>39</v>
      </c>
      <c r="E100" s="2">
        <v>64</v>
      </c>
      <c r="F100" s="2">
        <v>71</v>
      </c>
      <c r="G100" s="2">
        <v>71</v>
      </c>
      <c r="H100" s="2">
        <v>93</v>
      </c>
    </row>
    <row r="101" spans="1:8" x14ac:dyDescent="0.25">
      <c r="A101" s="2">
        <v>20260100</v>
      </c>
      <c r="B101" s="3" t="s">
        <v>109</v>
      </c>
      <c r="C101" s="2">
        <v>44</v>
      </c>
      <c r="D101" s="2">
        <v>64</v>
      </c>
      <c r="E101" s="2">
        <v>68</v>
      </c>
      <c r="F101" s="2">
        <v>60</v>
      </c>
      <c r="G101" s="2">
        <v>89</v>
      </c>
      <c r="H101" s="2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Software Support</cp:lastModifiedBy>
  <cp:revision>0</cp:revision>
  <dcterms:created xsi:type="dcterms:W3CDTF">2026-07-22T03:58:54Z</dcterms:created>
  <dcterms:modified xsi:type="dcterms:W3CDTF">2026-07-22T04:35:32Z</dcterms:modified>
  <dc:language>en-US</dc:language>
</cp:coreProperties>
</file>