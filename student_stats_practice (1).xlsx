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Mark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<sst xmlns="http://schemas.openxmlformats.org/spreadsheetml/2006/main" count="81" uniqueCount="54">
  <si>
    <t xml:space="preserve">S.No</t>
  </si>
  <si>
    <t xml:space="preserve">Name</t>
  </si>
  <si>
    <t xml:space="preserve">Subject</t>
  </si>
  <si>
    <t xml:space="preserve">Marks</t>
  </si>
  <si>
    <t xml:space="preserve">Rank (High to Low)</t>
  </si>
  <si>
    <t xml:space="preserve">Aman</t>
  </si>
  <si>
    <t xml:space="preserve">English</t>
  </si>
  <si>
    <t xml:space="preserve">Riya</t>
  </si>
  <si>
    <t xml:space="preserve">Math</t>
  </si>
  <si>
    <t xml:space="preserve">Karan</t>
  </si>
  <si>
    <t xml:space="preserve">Sneha</t>
  </si>
  <si>
    <t xml:space="preserve">Vikas</t>
  </si>
  <si>
    <t xml:space="preserve">Pooja</t>
  </si>
  <si>
    <t xml:space="preserve">Rahul</t>
  </si>
  <si>
    <t xml:space="preserve">Neha</t>
  </si>
  <si>
    <t xml:space="preserve">Suresh</t>
  </si>
  <si>
    <t xml:space="preserve">Anjali</t>
  </si>
  <si>
    <t xml:space="preserve">Divya</t>
  </si>
  <si>
    <t xml:space="preserve">Rohit</t>
  </si>
  <si>
    <t xml:space="preserve">Kavya</t>
  </si>
  <si>
    <t xml:space="preserve">Manish</t>
  </si>
  <si>
    <t xml:space="preserve">Priya</t>
  </si>
  <si>
    <t xml:space="preserve">Arjun</t>
  </si>
  <si>
    <t xml:space="preserve">Science</t>
  </si>
  <si>
    <t xml:space="preserve">Simran</t>
  </si>
  <si>
    <t xml:space="preserve">Vivek</t>
  </si>
  <si>
    <t xml:space="preserve">Meena</t>
  </si>
  <si>
    <t xml:space="preserve">Sanjay</t>
  </si>
  <si>
    <t xml:space="preserve">Isha</t>
  </si>
  <si>
    <t xml:space="preserve">Rajesh</t>
  </si>
  <si>
    <t xml:space="preserve">Tanya</t>
  </si>
  <si>
    <t xml:space="preserve">Naveen</t>
  </si>
  <si>
    <t xml:space="preserve">Swati</t>
  </si>
  <si>
    <t xml:space="preserve">Ajay</t>
  </si>
  <si>
    <t xml:space="preserve">Bhavna</t>
  </si>
  <si>
    <t xml:space="preserve">Kunal</t>
  </si>
  <si>
    <t xml:space="preserve">Deepa</t>
  </si>
  <si>
    <t xml:space="preserve">Harish</t>
  </si>
  <si>
    <t xml:space="preserve">Statistical Summary of Student Marks</t>
  </si>
  <si>
    <t xml:space="preserve">Metric</t>
  </si>
  <si>
    <t xml:space="preserve">Value</t>
  </si>
  <si>
    <t xml:space="preserve">Total Students</t>
  </si>
  <si>
    <t xml:space="preserve">Count - Math Students</t>
  </si>
  <si>
    <t xml:space="preserve">Count - Science Students</t>
  </si>
  <si>
    <t xml:space="preserve">Count - English Students</t>
  </si>
  <si>
    <t xml:space="preserve">Count - Marks Above 75</t>
  </si>
  <si>
    <t xml:space="preserve">Average Marks - Math</t>
  </si>
  <si>
    <t xml:space="preserve">Average Marks - Science</t>
  </si>
  <si>
    <t xml:space="preserve">Average Marks - English</t>
  </si>
  <si>
    <t xml:space="preserve">Overall Average Marks</t>
  </si>
  <si>
    <t xml:space="preserve">Highest Marks</t>
  </si>
  <si>
    <t xml:space="preserve">Lowest Marks</t>
  </si>
  <si>
    <t xml:space="preserve">Standard Deviation (Sample)</t>
  </si>
  <si>
    <t xml:space="preserve">Variance (Sample)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</si>
</sst>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s">
        <v>6</v>
      </c>
      <c r="D2" s="2" t="n">
        <v>49</v>
      </c>
      <c r="E2" s="2" t="n">
        <f aca="false">RANK(D2,$D$2:$D$31,0)</f>
        <v>22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2" t="n">
        <v>70</v>
      </c>
      <c r="E3" s="2" t="n">
        <f aca="false">RANK(D3,$D$2:$D$31,0)</f>
        <v>10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8</v>
      </c>
      <c r="D4" s="2" t="n">
        <v>63</v>
      </c>
      <c r="E4" s="2" t="n">
        <f aca="false">RANK(D4,$D$2:$D$31,0)</f>
        <v>15</v>
      </c>
    </row>
    <row r="5" customFormat="false" ht="15" hidden="false" customHeight="false" outlineLevel="0" collapsed="false">
      <c r="A5" s="2" t="n">
        <v>4</v>
      </c>
      <c r="B5" s="2" t="s">
        <v>10</v>
      </c>
      <c r="C5" s="2" t="s">
        <v>8</v>
      </c>
      <c r="D5" s="2" t="n">
        <v>48</v>
      </c>
      <c r="E5" s="2" t="n">
        <f aca="false">RANK(D5,$D$2:$D$31,0)</f>
        <v>23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6</v>
      </c>
      <c r="D6" s="2" t="n">
        <v>46</v>
      </c>
      <c r="E6" s="2" t="n">
        <f aca="false">RANK(D6,$D$2:$D$31,0)</f>
        <v>25</v>
      </c>
    </row>
    <row r="7" customFormat="false" ht="15" hidden="false" customHeight="false" outlineLevel="0" collapsed="false">
      <c r="A7" s="2" t="n">
        <v>6</v>
      </c>
      <c r="B7" s="2" t="s">
        <v>12</v>
      </c>
      <c r="C7" s="2" t="s">
        <v>6</v>
      </c>
      <c r="D7" s="2" t="n">
        <v>89</v>
      </c>
      <c r="E7" s="2" t="n">
        <f aca="false">RANK(D7,$D$2:$D$31,0)</f>
        <v>3</v>
      </c>
    </row>
    <row r="8" customFormat="false" ht="15" hidden="false" customHeight="false" outlineLevel="0" collapsed="false">
      <c r="A8" s="2" t="n">
        <v>7</v>
      </c>
      <c r="B8" s="2" t="s">
        <v>13</v>
      </c>
      <c r="C8" s="2" t="s">
        <v>8</v>
      </c>
      <c r="D8" s="2" t="n">
        <v>38</v>
      </c>
      <c r="E8" s="2" t="n">
        <f aca="false">RANK(D8,$D$2:$D$31,0)</f>
        <v>29</v>
      </c>
    </row>
    <row r="9" customFormat="false" ht="15" hidden="false" customHeight="false" outlineLevel="0" collapsed="false">
      <c r="A9" s="2" t="n">
        <v>8</v>
      </c>
      <c r="B9" s="2" t="s">
        <v>14</v>
      </c>
      <c r="C9" s="2" t="s">
        <v>8</v>
      </c>
      <c r="D9" s="2" t="n">
        <v>62</v>
      </c>
      <c r="E9" s="2" t="n">
        <f aca="false">RANK(D9,$D$2:$D$31,0)</f>
        <v>16</v>
      </c>
    </row>
    <row r="10" customFormat="false" ht="15" hidden="false" customHeight="false" outlineLevel="0" collapsed="false">
      <c r="A10" s="2" t="n">
        <v>9</v>
      </c>
      <c r="B10" s="2" t="s">
        <v>15</v>
      </c>
      <c r="C10" s="2" t="s">
        <v>8</v>
      </c>
      <c r="D10" s="2" t="n">
        <v>38</v>
      </c>
      <c r="E10" s="2" t="n">
        <f aca="false">RANK(D10,$D$2:$D$31,0)</f>
        <v>29</v>
      </c>
    </row>
    <row r="11" customFormat="false" ht="15" hidden="false" customHeight="false" outlineLevel="0" collapsed="false">
      <c r="A11" s="2" t="n">
        <v>10</v>
      </c>
      <c r="B11" s="2" t="s">
        <v>16</v>
      </c>
      <c r="C11" s="2" t="s">
        <v>6</v>
      </c>
      <c r="D11" s="2" t="n">
        <v>60</v>
      </c>
      <c r="E11" s="2" t="n">
        <f aca="false">RANK(D11,$D$2:$D$31,0)</f>
        <v>18</v>
      </c>
    </row>
    <row r="12" customFormat="false" ht="15" hidden="false" customHeight="false" outlineLevel="0" collapsed="false">
      <c r="A12" s="2" t="n">
        <v>11</v>
      </c>
      <c r="B12" s="2" t="s">
        <v>17</v>
      </c>
      <c r="C12" s="2" t="s">
        <v>6</v>
      </c>
      <c r="D12" s="2" t="n">
        <v>88</v>
      </c>
      <c r="E12" s="2" t="n">
        <f aca="false">RANK(D12,$D$2:$D$31,0)</f>
        <v>5</v>
      </c>
    </row>
    <row r="13" customFormat="false" ht="15" hidden="false" customHeight="false" outlineLevel="0" collapsed="false">
      <c r="A13" s="2" t="n">
        <v>12</v>
      </c>
      <c r="B13" s="2" t="s">
        <v>18</v>
      </c>
      <c r="C13" s="2" t="s">
        <v>8</v>
      </c>
      <c r="D13" s="2" t="n">
        <v>92</v>
      </c>
      <c r="E13" s="2" t="n">
        <f aca="false">RANK(D13,$D$2:$D$31,0)</f>
        <v>2</v>
      </c>
    </row>
    <row r="14" customFormat="false" ht="15" hidden="false" customHeight="false" outlineLevel="0" collapsed="false">
      <c r="A14" s="2" t="n">
        <v>13</v>
      </c>
      <c r="B14" s="2" t="s">
        <v>19</v>
      </c>
      <c r="C14" s="2" t="s">
        <v>6</v>
      </c>
      <c r="D14" s="2" t="n">
        <v>70</v>
      </c>
      <c r="E14" s="2" t="n">
        <f aca="false">RANK(D14,$D$2:$D$31,0)</f>
        <v>10</v>
      </c>
    </row>
    <row r="15" customFormat="false" ht="15" hidden="false" customHeight="false" outlineLevel="0" collapsed="false">
      <c r="A15" s="2" t="n">
        <v>14</v>
      </c>
      <c r="B15" s="2" t="s">
        <v>20</v>
      </c>
      <c r="C15" s="2" t="s">
        <v>8</v>
      </c>
      <c r="D15" s="2" t="n">
        <v>55</v>
      </c>
      <c r="E15" s="2" t="n">
        <f aca="false">RANK(D15,$D$2:$D$31,0)</f>
        <v>20</v>
      </c>
    </row>
    <row r="16" customFormat="false" ht="15" hidden="false" customHeight="false" outlineLevel="0" collapsed="false">
      <c r="A16" s="2" t="n">
        <v>15</v>
      </c>
      <c r="B16" s="2" t="s">
        <v>21</v>
      </c>
      <c r="C16" s="2" t="s">
        <v>6</v>
      </c>
      <c r="D16" s="2" t="n">
        <v>89</v>
      </c>
      <c r="E16" s="2" t="n">
        <f aca="false">RANK(D16,$D$2:$D$31,0)</f>
        <v>3</v>
      </c>
    </row>
    <row r="17" customFormat="false" ht="15" hidden="false" customHeight="false" outlineLevel="0" collapsed="false">
      <c r="A17" s="2" t="n">
        <v>16</v>
      </c>
      <c r="B17" s="2" t="s">
        <v>22</v>
      </c>
      <c r="C17" s="2" t="s">
        <v>23</v>
      </c>
      <c r="D17" s="2" t="n">
        <v>70</v>
      </c>
      <c r="E17" s="2" t="n">
        <f aca="false">RANK(D17,$D$2:$D$31,0)</f>
        <v>10</v>
      </c>
    </row>
    <row r="18" customFormat="false" ht="15" hidden="false" customHeight="false" outlineLevel="0" collapsed="false">
      <c r="A18" s="2" t="n">
        <v>17</v>
      </c>
      <c r="B18" s="2" t="s">
        <v>24</v>
      </c>
      <c r="C18" s="2" t="s">
        <v>8</v>
      </c>
      <c r="D18" s="2" t="n">
        <v>62</v>
      </c>
      <c r="E18" s="2" t="n">
        <f aca="false">RANK(D18,$D$2:$D$31,0)</f>
        <v>16</v>
      </c>
    </row>
    <row r="19" customFormat="false" ht="15" hidden="false" customHeight="false" outlineLevel="0" collapsed="false">
      <c r="A19" s="2" t="n">
        <v>18</v>
      </c>
      <c r="B19" s="2" t="s">
        <v>25</v>
      </c>
      <c r="C19" s="2" t="s">
        <v>23</v>
      </c>
      <c r="D19" s="2" t="n">
        <v>48</v>
      </c>
      <c r="E19" s="2" t="n">
        <f aca="false">RANK(D19,$D$2:$D$31,0)</f>
        <v>23</v>
      </c>
    </row>
    <row r="20" customFormat="false" ht="15" hidden="false" customHeight="false" outlineLevel="0" collapsed="false">
      <c r="A20" s="2" t="n">
        <v>19</v>
      </c>
      <c r="B20" s="2" t="s">
        <v>26</v>
      </c>
      <c r="C20" s="2" t="s">
        <v>8</v>
      </c>
      <c r="D20" s="2" t="n">
        <v>83</v>
      </c>
      <c r="E20" s="2" t="n">
        <f aca="false">RANK(D20,$D$2:$D$31,0)</f>
        <v>6</v>
      </c>
    </row>
    <row r="21" customFormat="false" ht="15" hidden="false" customHeight="false" outlineLevel="0" collapsed="false">
      <c r="A21" s="2" t="n">
        <v>20</v>
      </c>
      <c r="B21" s="2" t="s">
        <v>27</v>
      </c>
      <c r="C21" s="2" t="s">
        <v>8</v>
      </c>
      <c r="D21" s="2" t="n">
        <v>80</v>
      </c>
      <c r="E21" s="2" t="n">
        <f aca="false">RANK(D21,$D$2:$D$31,0)</f>
        <v>8</v>
      </c>
    </row>
    <row r="22" customFormat="false" ht="15" hidden="false" customHeight="false" outlineLevel="0" collapsed="false">
      <c r="A22" s="2" t="n">
        <v>21</v>
      </c>
      <c r="B22" s="2" t="s">
        <v>28</v>
      </c>
      <c r="C22" s="2" t="s">
        <v>23</v>
      </c>
      <c r="D22" s="2" t="n">
        <v>68</v>
      </c>
      <c r="E22" s="2" t="n">
        <f aca="false">RANK(D22,$D$2:$D$31,0)</f>
        <v>13</v>
      </c>
    </row>
    <row r="23" customFormat="false" ht="15" hidden="false" customHeight="false" outlineLevel="0" collapsed="false">
      <c r="A23" s="2" t="n">
        <v>22</v>
      </c>
      <c r="B23" s="2" t="s">
        <v>29</v>
      </c>
      <c r="C23" s="2" t="s">
        <v>8</v>
      </c>
      <c r="D23" s="2" t="n">
        <v>93</v>
      </c>
      <c r="E23" s="2" t="n">
        <f aca="false">RANK(D23,$D$2:$D$31,0)</f>
        <v>1</v>
      </c>
    </row>
    <row r="24" customFormat="false" ht="15" hidden="false" customHeight="false" outlineLevel="0" collapsed="false">
      <c r="A24" s="2" t="n">
        <v>23</v>
      </c>
      <c r="B24" s="2" t="s">
        <v>30</v>
      </c>
      <c r="C24" s="2" t="s">
        <v>6</v>
      </c>
      <c r="D24" s="2" t="n">
        <v>50</v>
      </c>
      <c r="E24" s="2" t="n">
        <f aca="false">RANK(D24,$D$2:$D$31,0)</f>
        <v>21</v>
      </c>
    </row>
    <row r="25" customFormat="false" ht="15" hidden="false" customHeight="false" outlineLevel="0" collapsed="false">
      <c r="A25" s="2" t="n">
        <v>24</v>
      </c>
      <c r="B25" s="2" t="s">
        <v>31</v>
      </c>
      <c r="C25" s="2" t="s">
        <v>23</v>
      </c>
      <c r="D25" s="2" t="n">
        <v>45</v>
      </c>
      <c r="E25" s="2" t="n">
        <f aca="false">RANK(D25,$D$2:$D$31,0)</f>
        <v>26</v>
      </c>
    </row>
    <row r="26" customFormat="false" ht="15" hidden="false" customHeight="false" outlineLevel="0" collapsed="false">
      <c r="A26" s="2" t="n">
        <v>25</v>
      </c>
      <c r="B26" s="2" t="s">
        <v>32</v>
      </c>
      <c r="C26" s="2" t="s">
        <v>6</v>
      </c>
      <c r="D26" s="2" t="n">
        <v>72</v>
      </c>
      <c r="E26" s="2" t="n">
        <f aca="false">RANK(D26,$D$2:$D$31,0)</f>
        <v>9</v>
      </c>
    </row>
    <row r="27" customFormat="false" ht="15" hidden="false" customHeight="false" outlineLevel="0" collapsed="false">
      <c r="A27" s="2" t="n">
        <v>26</v>
      </c>
      <c r="B27" s="2" t="s">
        <v>33</v>
      </c>
      <c r="C27" s="2" t="s">
        <v>6</v>
      </c>
      <c r="D27" s="2" t="n">
        <v>81</v>
      </c>
      <c r="E27" s="2" t="n">
        <f aca="false">RANK(D27,$D$2:$D$31,0)</f>
        <v>7</v>
      </c>
    </row>
    <row r="28" customFormat="false" ht="15" hidden="false" customHeight="false" outlineLevel="0" collapsed="false">
      <c r="A28" s="2" t="n">
        <v>27</v>
      </c>
      <c r="B28" s="2" t="s">
        <v>34</v>
      </c>
      <c r="C28" s="2" t="s">
        <v>6</v>
      </c>
      <c r="D28" s="2" t="n">
        <v>59</v>
      </c>
      <c r="E28" s="2" t="n">
        <f aca="false">RANK(D28,$D$2:$D$31,0)</f>
        <v>19</v>
      </c>
    </row>
    <row r="29" customFormat="false" ht="15" hidden="false" customHeight="false" outlineLevel="0" collapsed="false">
      <c r="A29" s="2" t="n">
        <v>28</v>
      </c>
      <c r="B29" s="2" t="s">
        <v>35</v>
      </c>
      <c r="C29" s="2" t="s">
        <v>6</v>
      </c>
      <c r="D29" s="2" t="n">
        <v>43</v>
      </c>
      <c r="E29" s="2" t="n">
        <f aca="false">RANK(D29,$D$2:$D$31,0)</f>
        <v>28</v>
      </c>
    </row>
    <row r="30" customFormat="false" ht="15" hidden="false" customHeight="false" outlineLevel="0" collapsed="false">
      <c r="A30" s="2" t="n">
        <v>29</v>
      </c>
      <c r="B30" s="2" t="s">
        <v>36</v>
      </c>
      <c r="C30" s="2" t="s">
        <v>8</v>
      </c>
      <c r="D30" s="2" t="n">
        <v>64</v>
      </c>
      <c r="E30" s="2" t="n">
        <f aca="false">RANK(D30,$D$2:$D$31,0)</f>
        <v>14</v>
      </c>
    </row>
    <row r="31" customFormat="false" ht="15" hidden="false" customHeight="false" outlineLevel="0" collapsed="false">
      <c r="A31" s="2" t="n">
        <v>30</v>
      </c>
      <c r="B31" s="2" t="s">
        <v>37</v>
      </c>
      <c r="C31" s="2" t="s">
        <v>23</v>
      </c>
      <c r="D31" s="2" t="n">
        <v>45</v>
      </c>
      <c r="E31" s="2" t="n">
        <f aca="false">RANK(D31,$D$2:$D$31,0)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3" t="s">
        <v>38</v>
      </c>
      <c r="B1" s="3"/>
    </row>
    <row r="3" customFormat="false" ht="15" hidden="false" customHeight="false" outlineLevel="0" collapsed="false">
      <c r="A3" s="4" t="s">
        <v>39</v>
      </c>
      <c r="B3" s="4" t="s">
        <v>40</v>
      </c>
    </row>
    <row r="4" customFormat="false" ht="15" hidden="false" customHeight="false" outlineLevel="0" collapsed="false">
      <c r="A4" s="5" t="s">
        <v>41</v>
      </c>
      <c r="B4" s="5" t="n">
        <f aca="false">COUNTA('Student Marks'!B2:B31)</f>
        <v>30</v>
      </c>
    </row>
    <row r="5" customFormat="false" ht="15" hidden="false" customHeight="false" outlineLevel="0" collapsed="false">
      <c r="A5" s="5" t="s">
        <v>42</v>
      </c>
      <c r="B5" s="5" t="n">
        <f aca="false">COUNTIF('Student Marks'!C2:C31,"Math")</f>
        <v>13</v>
      </c>
    </row>
    <row r="6" customFormat="false" ht="15" hidden="false" customHeight="false" outlineLevel="0" collapsed="false">
      <c r="A6" s="5" t="s">
        <v>43</v>
      </c>
      <c r="B6" s="5" t="n">
        <f aca="false">COUNTIF('Student Marks'!C2:C31,"Science")</f>
        <v>5</v>
      </c>
    </row>
    <row r="7" customFormat="false" ht="15" hidden="false" customHeight="false" outlineLevel="0" collapsed="false">
      <c r="A7" s="5" t="s">
        <v>44</v>
      </c>
      <c r="B7" s="5" t="n">
        <f aca="false">COUNTIF('Student Marks'!C2:C31,"English")</f>
        <v>12</v>
      </c>
    </row>
    <row r="8" customFormat="false" ht="15" hidden="false" customHeight="false" outlineLevel="0" collapsed="false">
      <c r="A8" s="5" t="s">
        <v>45</v>
      </c>
      <c r="B8" s="5" t="n">
        <f aca="false">COUNTIF('Student Marks'!D2:D31,"&gt;75")</f>
        <v>8</v>
      </c>
    </row>
    <row r="9" customFormat="false" ht="15" hidden="false" customHeight="false" outlineLevel="0" collapsed="false">
      <c r="A9" s="5" t="s">
        <v>46</v>
      </c>
      <c r="B9" s="6" t="n">
        <f aca="false">AVERAGEIF('Student Marks'!C2:C31,"Math",'Student Marks'!D2:D31)</f>
        <v>65.2307692307692</v>
      </c>
    </row>
    <row r="10" customFormat="false" ht="15" hidden="false" customHeight="false" outlineLevel="0" collapsed="false">
      <c r="A10" s="5" t="s">
        <v>47</v>
      </c>
      <c r="B10" s="6" t="n">
        <f aca="false">AVERAGEIF('Student Marks'!C2:C31,"Science",'Student Marks'!D2:D31)</f>
        <v>55.2</v>
      </c>
    </row>
    <row r="11" customFormat="false" ht="15" hidden="false" customHeight="false" outlineLevel="0" collapsed="false">
      <c r="A11" s="5" t="s">
        <v>48</v>
      </c>
      <c r="B11" s="6" t="n">
        <f aca="false">AVERAGEIF('Student Marks'!C2:C31,"English",'Student Marks'!D2:D31)</f>
        <v>66.3333333333333</v>
      </c>
    </row>
    <row r="12" customFormat="false" ht="15" hidden="false" customHeight="false" outlineLevel="0" collapsed="false">
      <c r="A12" s="5" t="s">
        <v>49</v>
      </c>
      <c r="B12" s="6" t="n">
        <f aca="false">AVERAGE('Student Marks'!D2:D31)</f>
        <v>64</v>
      </c>
    </row>
    <row r="13" customFormat="false" ht="15" hidden="false" customHeight="false" outlineLevel="0" collapsed="false">
      <c r="A13" s="5" t="s">
        <v>50</v>
      </c>
      <c r="B13" s="5" t="n">
        <f aca="false">MAX('Student Marks'!D2:D31)</f>
        <v>93</v>
      </c>
    </row>
    <row r="14" customFormat="false" ht="15" hidden="false" customHeight="false" outlineLevel="0" collapsed="false">
      <c r="A14" s="5" t="s">
        <v>51</v>
      </c>
      <c r="B14" s="5" t="n">
        <f aca="false">MIN('Student Marks'!D2:D31)</f>
        <v>38</v>
      </c>
    </row>
    <row r="15" customFormat="false" ht="15" hidden="false" customHeight="false" outlineLevel="0" collapsed="false">
      <c r="A15" s="5" t="s">
        <v>52</v>
      </c>
      <c r="B15" s="6" t="n">
        <f aca="false">_xlfn.STDEV.S('Student Marks'!D2:D31)</f>
        <v>17.0678160532502</v>
      </c>
    </row>
    <row r="16" customFormat="false" ht="15" hidden="false" customHeight="false" outlineLevel="0" collapsed="false">
      <c r="A16" s="5" t="s">
        <v>53</v>
      </c>
      <c r="B16" s="6" t="n">
        <f aca="false">_xlfn.VAR.S('Student Marks'!D2:D31)</f>
        <v>291.310344827586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2026-09-23T08:52:30Z</dcterms:created>
  <dc:creator>openpyxl</dc:creator>
  <dc:description/>
  <dc:language>en-US</dc:language>
  <cp:lastModifiedBy/>
  <dcterms:modified xsi:type="dcterms:W3CDTF">2026-09-23T08:52:30Z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