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851979-C46D-47F2-A99B-3DAABA04267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imple Linear Regress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C8" i="1" s="1"/>
  <c r="D8" i="1" s="1"/>
  <c r="H5" i="1"/>
  <c r="H11" i="1" s="1"/>
  <c r="H12" i="1" s="1"/>
  <c r="C49" i="1" l="1"/>
  <c r="D49" i="1" s="1"/>
  <c r="C25" i="1"/>
  <c r="D25" i="1" s="1"/>
  <c r="C43" i="1"/>
  <c r="D43" i="1" s="1"/>
  <c r="C6" i="1"/>
  <c r="D6" i="1" s="1"/>
  <c r="C10" i="1"/>
  <c r="D10" i="1" s="1"/>
  <c r="C14" i="1"/>
  <c r="D14" i="1" s="1"/>
  <c r="H13" i="1"/>
  <c r="C19" i="1"/>
  <c r="D19" i="1" s="1"/>
  <c r="C31" i="1"/>
  <c r="D31" i="1" s="1"/>
  <c r="C37" i="1"/>
  <c r="D37" i="1" s="1"/>
  <c r="C20" i="1"/>
  <c r="D20" i="1" s="1"/>
  <c r="C26" i="1"/>
  <c r="D26" i="1" s="1"/>
  <c r="C32" i="1"/>
  <c r="D32" i="1" s="1"/>
  <c r="C38" i="1"/>
  <c r="D38" i="1" s="1"/>
  <c r="C44" i="1"/>
  <c r="D44" i="1" s="1"/>
  <c r="C50" i="1"/>
  <c r="D50" i="1" s="1"/>
  <c r="C51" i="1"/>
  <c r="D51" i="1" s="1"/>
  <c r="C39" i="1"/>
  <c r="D39" i="1" s="1"/>
  <c r="C16" i="1"/>
  <c r="D16" i="1" s="1"/>
  <c r="C22" i="1"/>
  <c r="D22" i="1" s="1"/>
  <c r="C28" i="1"/>
  <c r="D28" i="1" s="1"/>
  <c r="C34" i="1"/>
  <c r="D34" i="1" s="1"/>
  <c r="C40" i="1"/>
  <c r="D40" i="1" s="1"/>
  <c r="C46" i="1"/>
  <c r="D46" i="1" s="1"/>
  <c r="C52" i="1"/>
  <c r="D52" i="1" s="1"/>
  <c r="C7" i="1"/>
  <c r="D7" i="1" s="1"/>
  <c r="C21" i="1"/>
  <c r="D21" i="1" s="1"/>
  <c r="C45" i="1"/>
  <c r="D45" i="1" s="1"/>
  <c r="C12" i="1"/>
  <c r="D12" i="1" s="1"/>
  <c r="C17" i="1"/>
  <c r="D17" i="1" s="1"/>
  <c r="C23" i="1"/>
  <c r="D23" i="1" s="1"/>
  <c r="C29" i="1"/>
  <c r="D29" i="1" s="1"/>
  <c r="C35" i="1"/>
  <c r="D35" i="1" s="1"/>
  <c r="C41" i="1"/>
  <c r="D41" i="1" s="1"/>
  <c r="C47" i="1"/>
  <c r="D47" i="1" s="1"/>
  <c r="C53" i="1"/>
  <c r="D53" i="1" s="1"/>
  <c r="H17" i="1"/>
  <c r="C5" i="1"/>
  <c r="D5" i="1" s="1"/>
  <c r="C9" i="1"/>
  <c r="D9" i="1" s="1"/>
  <c r="C13" i="1"/>
  <c r="D13" i="1" s="1"/>
  <c r="C18" i="1"/>
  <c r="D18" i="1" s="1"/>
  <c r="C24" i="1"/>
  <c r="D24" i="1" s="1"/>
  <c r="C30" i="1"/>
  <c r="D30" i="1" s="1"/>
  <c r="C36" i="1"/>
  <c r="D36" i="1" s="1"/>
  <c r="C42" i="1"/>
  <c r="D42" i="1" s="1"/>
  <c r="C48" i="1"/>
  <c r="D48" i="1" s="1"/>
  <c r="C54" i="1"/>
  <c r="D54" i="1" s="1"/>
  <c r="C15" i="1"/>
  <c r="D15" i="1" s="1"/>
  <c r="C11" i="1"/>
  <c r="D11" i="1" s="1"/>
  <c r="C27" i="1"/>
  <c r="D27" i="1" s="1"/>
  <c r="C33" i="1"/>
  <c r="D33" i="1" s="1"/>
</calcChain>
</file>

<file path=xl/sharedStrings.xml><?xml version="1.0" encoding="utf-8"?>
<sst xmlns="http://schemas.openxmlformats.org/spreadsheetml/2006/main" count="27" uniqueCount="27">
  <si>
    <t>Simple Linear Regression: House Price vs House Size</t>
  </si>
  <si>
    <t>Independent variable (X) = Size in sq ft | Dependent variable (Y) = Price in Rs lakhs | Synthetic practice data</t>
  </si>
  <si>
    <t>Size (sq ft)  [X]</t>
  </si>
  <si>
    <t>Price (Rs lakhs)  [Y]</t>
  </si>
  <si>
    <t>Predicted Y</t>
  </si>
  <si>
    <t>Residual</t>
  </si>
  <si>
    <t>Regression Output</t>
  </si>
  <si>
    <t>Slope (b)</t>
  </si>
  <si>
    <t>Rs lakhs per extra sq ft</t>
  </si>
  <si>
    <t>Intercept (a)</t>
  </si>
  <si>
    <t>Value of Y when X = 0</t>
  </si>
  <si>
    <t>Correlation (r)</t>
  </si>
  <si>
    <t>Strength/direction</t>
  </si>
  <si>
    <t>R-squared</t>
  </si>
  <si>
    <t>Share of Y variation explained</t>
  </si>
  <si>
    <t>Std error (STEYX)</t>
  </si>
  <si>
    <t>Typical prediction error</t>
  </si>
  <si>
    <t>Observations (n)</t>
  </si>
  <si>
    <t>t-stat of slope</t>
  </si>
  <si>
    <t>|t| &gt; 2 = significant</t>
  </si>
  <si>
    <t>p-value of slope</t>
  </si>
  <si>
    <t>&lt; 0.05 = significant</t>
  </si>
  <si>
    <t>Equation</t>
  </si>
  <si>
    <t>Predict a New Value</t>
  </si>
  <si>
    <t>Size (sq ft) - edit me</t>
  </si>
  <si>
    <t>Predicted price (Rs lakhs)</t>
  </si>
  <si>
    <t>Blue = data, black = formulas, yellow = editable. For ToolPak: Y range = B4:B54, X range = A4:A54 (tick Labels).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</si>
</sst>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b/>
      <sz val="12"/>
      <color rgb="FF1F4E78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3" fontId="5" fillId="0" borderId="1" xfId="0" applyNumberFormat="1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0" fontId="7" fillId="3" borderId="1" xfId="0" applyFont="1" applyFill="1" applyBorder="1"/>
    <xf numFmtId="165" fontId="6" fillId="0" borderId="1" xfId="0" applyNumberFormat="1" applyFont="1" applyBorder="1"/>
    <xf numFmtId="2" fontId="6" fillId="0" borderId="1" xfId="0" applyNumberFormat="1" applyFont="1" applyBorder="1"/>
    <xf numFmtId="1" fontId="6" fillId="0" borderId="1" xfId="0" applyNumberFormat="1" applyFont="1" applyBorder="1"/>
    <xf numFmtId="166" fontId="6" fillId="0" borderId="1" xfId="0" applyNumberFormat="1" applyFont="1" applyBorder="1"/>
    <xf numFmtId="49" fontId="6" fillId="0" borderId="1" xfId="0" applyNumberFormat="1" applyFont="1" applyBorder="1"/>
    <xf numFmtId="3" fontId="5" fillId="4" borderId="1" xfId="0" applyNumberFormat="1" applyFont="1" applyFill="1" applyBorder="1"/>
    <xf numFmtId="164" fontId="7" fillId="0" borderId="1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Price vs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Houses</c:v>
          </c:tx>
          <c:spPr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'Simple Linear Regression'!$A$5:$A$54</c:f>
              <c:numCache>
                <c:formatCode>#,##0</c:formatCode>
                <c:ptCount val="50"/>
                <c:pt idx="0">
                  <c:v>3334</c:v>
                </c:pt>
                <c:pt idx="1">
                  <c:v>2375</c:v>
                </c:pt>
                <c:pt idx="2">
                  <c:v>2552</c:v>
                </c:pt>
                <c:pt idx="3">
                  <c:v>3191</c:v>
                </c:pt>
                <c:pt idx="4">
                  <c:v>2234</c:v>
                </c:pt>
                <c:pt idx="5">
                  <c:v>2827</c:v>
                </c:pt>
                <c:pt idx="6">
                  <c:v>3000</c:v>
                </c:pt>
                <c:pt idx="7">
                  <c:v>1175</c:v>
                </c:pt>
                <c:pt idx="8">
                  <c:v>666</c:v>
                </c:pt>
                <c:pt idx="9">
                  <c:v>1400</c:v>
                </c:pt>
                <c:pt idx="10">
                  <c:v>1355</c:v>
                </c:pt>
                <c:pt idx="11">
                  <c:v>3120</c:v>
                </c:pt>
                <c:pt idx="12">
                  <c:v>3237</c:v>
                </c:pt>
                <c:pt idx="13">
                  <c:v>515</c:v>
                </c:pt>
                <c:pt idx="14">
                  <c:v>1999</c:v>
                </c:pt>
                <c:pt idx="15">
                  <c:v>2963</c:v>
                </c:pt>
                <c:pt idx="16">
                  <c:v>894</c:v>
                </c:pt>
                <c:pt idx="17">
                  <c:v>2891</c:v>
                </c:pt>
                <c:pt idx="18">
                  <c:v>857</c:v>
                </c:pt>
                <c:pt idx="19">
                  <c:v>1903</c:v>
                </c:pt>
                <c:pt idx="20">
                  <c:v>2949</c:v>
                </c:pt>
                <c:pt idx="21">
                  <c:v>1409</c:v>
                </c:pt>
                <c:pt idx="22">
                  <c:v>1524</c:v>
                </c:pt>
                <c:pt idx="23">
                  <c:v>1335</c:v>
                </c:pt>
                <c:pt idx="24">
                  <c:v>2658</c:v>
                </c:pt>
                <c:pt idx="25">
                  <c:v>1264</c:v>
                </c:pt>
                <c:pt idx="26">
                  <c:v>3471</c:v>
                </c:pt>
                <c:pt idx="27">
                  <c:v>1835</c:v>
                </c:pt>
                <c:pt idx="28">
                  <c:v>1934</c:v>
                </c:pt>
                <c:pt idx="29">
                  <c:v>2013</c:v>
                </c:pt>
                <c:pt idx="30">
                  <c:v>2247</c:v>
                </c:pt>
                <c:pt idx="31">
                  <c:v>2160</c:v>
                </c:pt>
                <c:pt idx="32">
                  <c:v>2028</c:v>
                </c:pt>
                <c:pt idx="33">
                  <c:v>3486</c:v>
                </c:pt>
                <c:pt idx="34">
                  <c:v>2922</c:v>
                </c:pt>
                <c:pt idx="35">
                  <c:v>2877</c:v>
                </c:pt>
                <c:pt idx="36">
                  <c:v>2600</c:v>
                </c:pt>
                <c:pt idx="37">
                  <c:v>2366</c:v>
                </c:pt>
                <c:pt idx="38">
                  <c:v>1523</c:v>
                </c:pt>
                <c:pt idx="39">
                  <c:v>3466</c:v>
                </c:pt>
                <c:pt idx="40">
                  <c:v>1898</c:v>
                </c:pt>
                <c:pt idx="41">
                  <c:v>1145</c:v>
                </c:pt>
                <c:pt idx="42">
                  <c:v>3035</c:v>
                </c:pt>
                <c:pt idx="43">
                  <c:v>980</c:v>
                </c:pt>
                <c:pt idx="44">
                  <c:v>3072</c:v>
                </c:pt>
                <c:pt idx="45">
                  <c:v>2337</c:v>
                </c:pt>
                <c:pt idx="46">
                  <c:v>844</c:v>
                </c:pt>
                <c:pt idx="47">
                  <c:v>631</c:v>
                </c:pt>
                <c:pt idx="48">
                  <c:v>1834</c:v>
                </c:pt>
                <c:pt idx="49">
                  <c:v>607</c:v>
                </c:pt>
              </c:numCache>
            </c:numRef>
          </c:xVal>
          <c:yVal>
            <c:numRef>
              <c:f>'Simple Linear Regression'!$B$5:$B$54</c:f>
              <c:numCache>
                <c:formatCode>0.0</c:formatCode>
                <c:ptCount val="50"/>
                <c:pt idx="0">
                  <c:v>189.2</c:v>
                </c:pt>
                <c:pt idx="1">
                  <c:v>116.9</c:v>
                </c:pt>
                <c:pt idx="2">
                  <c:v>142.6</c:v>
                </c:pt>
                <c:pt idx="3">
                  <c:v>182.3</c:v>
                </c:pt>
                <c:pt idx="4">
                  <c:v>130</c:v>
                </c:pt>
                <c:pt idx="5">
                  <c:v>150.1</c:v>
                </c:pt>
                <c:pt idx="6">
                  <c:v>168.2</c:v>
                </c:pt>
                <c:pt idx="7">
                  <c:v>62</c:v>
                </c:pt>
                <c:pt idx="8">
                  <c:v>34.799999999999997</c:v>
                </c:pt>
                <c:pt idx="9">
                  <c:v>90.9</c:v>
                </c:pt>
                <c:pt idx="10">
                  <c:v>73.400000000000006</c:v>
                </c:pt>
                <c:pt idx="11">
                  <c:v>178.5</c:v>
                </c:pt>
                <c:pt idx="12">
                  <c:v>192.3</c:v>
                </c:pt>
                <c:pt idx="13">
                  <c:v>28.2</c:v>
                </c:pt>
                <c:pt idx="14">
                  <c:v>115.1</c:v>
                </c:pt>
                <c:pt idx="15">
                  <c:v>170.8</c:v>
                </c:pt>
                <c:pt idx="16">
                  <c:v>54.6</c:v>
                </c:pt>
                <c:pt idx="17">
                  <c:v>156.1</c:v>
                </c:pt>
                <c:pt idx="18">
                  <c:v>52.6</c:v>
                </c:pt>
                <c:pt idx="19">
                  <c:v>121.4</c:v>
                </c:pt>
                <c:pt idx="20">
                  <c:v>156.80000000000001</c:v>
                </c:pt>
                <c:pt idx="21">
                  <c:v>89.8</c:v>
                </c:pt>
                <c:pt idx="22">
                  <c:v>90.3</c:v>
                </c:pt>
                <c:pt idx="23">
                  <c:v>73.599999999999994</c:v>
                </c:pt>
                <c:pt idx="24">
                  <c:v>168.9</c:v>
                </c:pt>
                <c:pt idx="25">
                  <c:v>80.900000000000006</c:v>
                </c:pt>
                <c:pt idx="26">
                  <c:v>188.8</c:v>
                </c:pt>
                <c:pt idx="27">
                  <c:v>107.4</c:v>
                </c:pt>
                <c:pt idx="28">
                  <c:v>116.9</c:v>
                </c:pt>
                <c:pt idx="29">
                  <c:v>115.2</c:v>
                </c:pt>
                <c:pt idx="30">
                  <c:v>135.30000000000001</c:v>
                </c:pt>
                <c:pt idx="31">
                  <c:v>124.4</c:v>
                </c:pt>
                <c:pt idx="32">
                  <c:v>122.9</c:v>
                </c:pt>
                <c:pt idx="33">
                  <c:v>210.7</c:v>
                </c:pt>
                <c:pt idx="34">
                  <c:v>162.19999999999999</c:v>
                </c:pt>
                <c:pt idx="35">
                  <c:v>166.7</c:v>
                </c:pt>
                <c:pt idx="36">
                  <c:v>145.9</c:v>
                </c:pt>
                <c:pt idx="37">
                  <c:v>137.5</c:v>
                </c:pt>
                <c:pt idx="38">
                  <c:v>79.8</c:v>
                </c:pt>
                <c:pt idx="39">
                  <c:v>193.5</c:v>
                </c:pt>
                <c:pt idx="40">
                  <c:v>108.7</c:v>
                </c:pt>
                <c:pt idx="41">
                  <c:v>75.3</c:v>
                </c:pt>
                <c:pt idx="42">
                  <c:v>183.1</c:v>
                </c:pt>
                <c:pt idx="43">
                  <c:v>48.3</c:v>
                </c:pt>
                <c:pt idx="44">
                  <c:v>169.7</c:v>
                </c:pt>
                <c:pt idx="45">
                  <c:v>140</c:v>
                </c:pt>
                <c:pt idx="46">
                  <c:v>35.299999999999997</c:v>
                </c:pt>
                <c:pt idx="47">
                  <c:v>35.6</c:v>
                </c:pt>
                <c:pt idx="48">
                  <c:v>105.9</c:v>
                </c:pt>
                <c:pt idx="4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08-4878-958D-AC242A2BE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01765"/>
        <c:axId val="42660079"/>
      </c:scatterChart>
      <c:valAx>
        <c:axId val="282017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Size (sq ft)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60079"/>
        <c:crosses val="autoZero"/>
        <c:crossBetween val="midCat"/>
      </c:valAx>
      <c:valAx>
        <c:axId val="42660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(Rs lakhs)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0176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'Simple Linear Regression'!$A$20:$A$54</c:f>
              <c:numCache>
                <c:formatCode>#,##0</c:formatCode>
                <c:ptCount val="35"/>
                <c:pt idx="0">
                  <c:v>2963</c:v>
                </c:pt>
                <c:pt idx="1">
                  <c:v>894</c:v>
                </c:pt>
                <c:pt idx="2">
                  <c:v>2891</c:v>
                </c:pt>
                <c:pt idx="3">
                  <c:v>857</c:v>
                </c:pt>
                <c:pt idx="4">
                  <c:v>1903</c:v>
                </c:pt>
                <c:pt idx="5">
                  <c:v>2949</c:v>
                </c:pt>
                <c:pt idx="6">
                  <c:v>1409</c:v>
                </c:pt>
                <c:pt idx="7">
                  <c:v>1524</c:v>
                </c:pt>
                <c:pt idx="8">
                  <c:v>1335</c:v>
                </c:pt>
                <c:pt idx="9">
                  <c:v>2658</c:v>
                </c:pt>
                <c:pt idx="10">
                  <c:v>1264</c:v>
                </c:pt>
                <c:pt idx="11">
                  <c:v>3471</c:v>
                </c:pt>
                <c:pt idx="12">
                  <c:v>1835</c:v>
                </c:pt>
                <c:pt idx="13">
                  <c:v>1934</c:v>
                </c:pt>
                <c:pt idx="14">
                  <c:v>2013</c:v>
                </c:pt>
                <c:pt idx="15">
                  <c:v>2247</c:v>
                </c:pt>
                <c:pt idx="16">
                  <c:v>2160</c:v>
                </c:pt>
                <c:pt idx="17">
                  <c:v>2028</c:v>
                </c:pt>
                <c:pt idx="18">
                  <c:v>3486</c:v>
                </c:pt>
                <c:pt idx="19">
                  <c:v>2922</c:v>
                </c:pt>
                <c:pt idx="20">
                  <c:v>2877</c:v>
                </c:pt>
                <c:pt idx="21">
                  <c:v>2600</c:v>
                </c:pt>
                <c:pt idx="22">
                  <c:v>2366</c:v>
                </c:pt>
                <c:pt idx="23">
                  <c:v>1523</c:v>
                </c:pt>
                <c:pt idx="24">
                  <c:v>3466</c:v>
                </c:pt>
                <c:pt idx="25">
                  <c:v>1898</c:v>
                </c:pt>
                <c:pt idx="26">
                  <c:v>1145</c:v>
                </c:pt>
                <c:pt idx="27">
                  <c:v>3035</c:v>
                </c:pt>
                <c:pt idx="28">
                  <c:v>980</c:v>
                </c:pt>
                <c:pt idx="29">
                  <c:v>3072</c:v>
                </c:pt>
                <c:pt idx="30">
                  <c:v>2337</c:v>
                </c:pt>
                <c:pt idx="31">
                  <c:v>844</c:v>
                </c:pt>
                <c:pt idx="32">
                  <c:v>631</c:v>
                </c:pt>
                <c:pt idx="33">
                  <c:v>1834</c:v>
                </c:pt>
                <c:pt idx="34">
                  <c:v>607</c:v>
                </c:pt>
              </c:numCache>
            </c:numRef>
          </c:xVal>
          <c:yVal>
            <c:numRef>
              <c:f>'Simple Linear Regression'!$B$20:$B$54</c:f>
              <c:numCache>
                <c:formatCode>0.0</c:formatCode>
                <c:ptCount val="35"/>
                <c:pt idx="0">
                  <c:v>170.8</c:v>
                </c:pt>
                <c:pt idx="1">
                  <c:v>54.6</c:v>
                </c:pt>
                <c:pt idx="2">
                  <c:v>156.1</c:v>
                </c:pt>
                <c:pt idx="3">
                  <c:v>52.6</c:v>
                </c:pt>
                <c:pt idx="4">
                  <c:v>121.4</c:v>
                </c:pt>
                <c:pt idx="5">
                  <c:v>156.80000000000001</c:v>
                </c:pt>
                <c:pt idx="6">
                  <c:v>89.8</c:v>
                </c:pt>
                <c:pt idx="7">
                  <c:v>90.3</c:v>
                </c:pt>
                <c:pt idx="8">
                  <c:v>73.599999999999994</c:v>
                </c:pt>
                <c:pt idx="9">
                  <c:v>168.9</c:v>
                </c:pt>
                <c:pt idx="10">
                  <c:v>80.900000000000006</c:v>
                </c:pt>
                <c:pt idx="11">
                  <c:v>188.8</c:v>
                </c:pt>
                <c:pt idx="12">
                  <c:v>107.4</c:v>
                </c:pt>
                <c:pt idx="13">
                  <c:v>116.9</c:v>
                </c:pt>
                <c:pt idx="14">
                  <c:v>115.2</c:v>
                </c:pt>
                <c:pt idx="15">
                  <c:v>135.30000000000001</c:v>
                </c:pt>
                <c:pt idx="16">
                  <c:v>124.4</c:v>
                </c:pt>
                <c:pt idx="17">
                  <c:v>122.9</c:v>
                </c:pt>
                <c:pt idx="18">
                  <c:v>210.7</c:v>
                </c:pt>
                <c:pt idx="19">
                  <c:v>162.19999999999999</c:v>
                </c:pt>
                <c:pt idx="20">
                  <c:v>166.7</c:v>
                </c:pt>
                <c:pt idx="21">
                  <c:v>145.9</c:v>
                </c:pt>
                <c:pt idx="22">
                  <c:v>137.5</c:v>
                </c:pt>
                <c:pt idx="23">
                  <c:v>79.8</c:v>
                </c:pt>
                <c:pt idx="24">
                  <c:v>193.5</c:v>
                </c:pt>
                <c:pt idx="25">
                  <c:v>108.7</c:v>
                </c:pt>
                <c:pt idx="26">
                  <c:v>75.3</c:v>
                </c:pt>
                <c:pt idx="27">
                  <c:v>183.1</c:v>
                </c:pt>
                <c:pt idx="28">
                  <c:v>48.3</c:v>
                </c:pt>
                <c:pt idx="29">
                  <c:v>169.7</c:v>
                </c:pt>
                <c:pt idx="30">
                  <c:v>140</c:v>
                </c:pt>
                <c:pt idx="31">
                  <c:v>35.299999999999997</c:v>
                </c:pt>
                <c:pt idx="32">
                  <c:v>35.6</c:v>
                </c:pt>
                <c:pt idx="33">
                  <c:v>105.9</c:v>
                </c:pt>
                <c:pt idx="34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D-4DE0-87E7-7F34D3FEF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987503"/>
        <c:axId val="708775119"/>
      </c:scatterChart>
      <c:valAx>
        <c:axId val="99298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775119"/>
        <c:crosses val="autoZero"/>
        <c:crossBetween val="midCat"/>
      </c:valAx>
      <c:valAx>
        <c:axId val="7087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8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130680</xdr:rowOff>
    </xdr:from>
    <xdr:to>
      <xdr:col>8</xdr:col>
      <xdr:colOff>1953360</xdr:colOff>
      <xdr:row>36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47</xdr:row>
      <xdr:rowOff>152400</xdr:rowOff>
    </xdr:from>
    <xdr:to>
      <xdr:col>8</xdr:col>
      <xdr:colOff>1543050</xdr:colOff>
      <xdr:row>62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18A81-7C3F-AC4A-C1EC-CE3C8B5DF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zoomScaleNormal="100" workbookViewId="0">
      <pane ySplit="4" topLeftCell="A11" activePane="bottomLeft" state="frozen"/>
      <selection pane="bottomLeft" activeCell="J14" sqref="J14"/>
    </sheetView>
  </sheetViews>
  <sheetFormatPr defaultColWidth="8.7109375" defaultRowHeight="15" x14ac:dyDescent="0.25"/>
  <cols>
    <col min="1" max="1" width="18" customWidth="1"/>
    <col min="2" max="2" width="20" customWidth="1"/>
    <col min="3" max="3" width="13" customWidth="1"/>
    <col min="4" max="4" width="11" customWidth="1"/>
    <col min="5" max="6" width="3" customWidth="1"/>
    <col min="7" max="7" width="26" customWidth="1"/>
    <col min="8" max="8" width="28" customWidth="1"/>
    <col min="9" max="9" width="30" customWidth="1"/>
  </cols>
  <sheetData>
    <row r="1" spans="1:9" ht="20.25" x14ac:dyDescent="0.3">
      <c r="A1" s="1" t="s">
        <v>0</v>
      </c>
    </row>
    <row r="2" spans="1:9" x14ac:dyDescent="0.25">
      <c r="A2" s="2" t="s">
        <v>1</v>
      </c>
    </row>
    <row r="4" spans="1:9" ht="31.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G4" s="4" t="s">
        <v>6</v>
      </c>
    </row>
    <row r="5" spans="1:9" x14ac:dyDescent="0.25">
      <c r="A5" s="5">
        <v>3334</v>
      </c>
      <c r="B5" s="6">
        <v>189.2</v>
      </c>
      <c r="C5" s="7">
        <f t="shared" ref="C5:C36" si="0">$H$6+$H$5*A5</f>
        <v>189.93170285850576</v>
      </c>
      <c r="D5" s="7">
        <f t="shared" ref="D5:D36" si="1">B5-C5</f>
        <v>-0.73170285850576988</v>
      </c>
      <c r="G5" s="8" t="s">
        <v>7</v>
      </c>
      <c r="H5" s="9">
        <f>SLOPE($B$5:$B$54,$A$5:$A$54)</f>
        <v>5.6170220247486913E-2</v>
      </c>
      <c r="I5" s="2" t="s">
        <v>8</v>
      </c>
    </row>
    <row r="6" spans="1:9" x14ac:dyDescent="0.25">
      <c r="A6" s="5">
        <v>2375</v>
      </c>
      <c r="B6" s="6">
        <v>116.9</v>
      </c>
      <c r="C6" s="7">
        <f t="shared" si="0"/>
        <v>136.06446164116579</v>
      </c>
      <c r="D6" s="7">
        <f t="shared" si="1"/>
        <v>-19.164461641165786</v>
      </c>
      <c r="G6" s="8" t="s">
        <v>9</v>
      </c>
      <c r="H6" s="10">
        <f>INTERCEPT($B$5:$B$54,$A$5:$A$54)</f>
        <v>2.660188553384387</v>
      </c>
      <c r="I6" s="2" t="s">
        <v>10</v>
      </c>
    </row>
    <row r="7" spans="1:9" x14ac:dyDescent="0.25">
      <c r="A7" s="5">
        <v>2552</v>
      </c>
      <c r="B7" s="6">
        <v>142.6</v>
      </c>
      <c r="C7" s="7">
        <f t="shared" si="0"/>
        <v>146.00659062497098</v>
      </c>
      <c r="D7" s="7">
        <f t="shared" si="1"/>
        <v>-3.4065906249709883</v>
      </c>
      <c r="G7" s="8" t="s">
        <v>11</v>
      </c>
      <c r="H7" s="9">
        <f>CORREL($A$5:$A$54,$B$5:$B$54)</f>
        <v>0.98901932365648371</v>
      </c>
      <c r="I7" s="2" t="s">
        <v>12</v>
      </c>
    </row>
    <row r="8" spans="1:9" x14ac:dyDescent="0.25">
      <c r="A8" s="5">
        <v>3191</v>
      </c>
      <c r="B8" s="6">
        <v>182.3</v>
      </c>
      <c r="C8" s="7">
        <f t="shared" si="0"/>
        <v>181.89936136311513</v>
      </c>
      <c r="D8" s="7">
        <f t="shared" si="1"/>
        <v>0.400638636884878</v>
      </c>
      <c r="G8" s="8" t="s">
        <v>13</v>
      </c>
      <c r="H8" s="9">
        <f>RSQ($B$5:$B$54,$A$5:$A$54)</f>
        <v>0.97815922256592824</v>
      </c>
      <c r="I8" s="2" t="s">
        <v>14</v>
      </c>
    </row>
    <row r="9" spans="1:9" x14ac:dyDescent="0.25">
      <c r="A9" s="5">
        <v>2234</v>
      </c>
      <c r="B9" s="6">
        <v>130</v>
      </c>
      <c r="C9" s="7">
        <f t="shared" si="0"/>
        <v>128.14446058627016</v>
      </c>
      <c r="D9" s="7">
        <f t="shared" si="1"/>
        <v>1.8555394137298435</v>
      </c>
      <c r="G9" s="8" t="s">
        <v>15</v>
      </c>
      <c r="H9" s="10">
        <f>STEYX($B$5:$B$54,$A$5:$A$54)</f>
        <v>7.5218318052392474</v>
      </c>
      <c r="I9" s="2" t="s">
        <v>16</v>
      </c>
    </row>
    <row r="10" spans="1:9" x14ac:dyDescent="0.25">
      <c r="A10" s="5">
        <v>2827</v>
      </c>
      <c r="B10" s="6">
        <v>150.1</v>
      </c>
      <c r="C10" s="7">
        <f t="shared" si="0"/>
        <v>161.45340119302989</v>
      </c>
      <c r="D10" s="7">
        <f t="shared" si="1"/>
        <v>-11.353401193029896</v>
      </c>
      <c r="G10" s="8" t="s">
        <v>17</v>
      </c>
      <c r="H10" s="11">
        <f>COUNT($B$5:$B$54)</f>
        <v>50</v>
      </c>
      <c r="I10" s="2"/>
    </row>
    <row r="11" spans="1:9" x14ac:dyDescent="0.25">
      <c r="A11" s="5">
        <v>3000</v>
      </c>
      <c r="B11" s="6">
        <v>168.2</v>
      </c>
      <c r="C11" s="7">
        <f t="shared" si="0"/>
        <v>171.17084929584513</v>
      </c>
      <c r="D11" s="7">
        <f t="shared" si="1"/>
        <v>-2.9708492958451416</v>
      </c>
      <c r="G11" s="8" t="s">
        <v>18</v>
      </c>
      <c r="H11" s="10">
        <f>H5/(H9/SQRT(DEVSQ($A$5:$A$54)))</f>
        <v>46.365115829314952</v>
      </c>
      <c r="I11" s="2" t="s">
        <v>19</v>
      </c>
    </row>
    <row r="12" spans="1:9" x14ac:dyDescent="0.25">
      <c r="A12" s="5">
        <v>1175</v>
      </c>
      <c r="B12" s="6">
        <v>62</v>
      </c>
      <c r="C12" s="7">
        <f t="shared" si="0"/>
        <v>68.660197344181512</v>
      </c>
      <c r="D12" s="7">
        <f t="shared" si="1"/>
        <v>-6.6601973441815119</v>
      </c>
      <c r="G12" s="8" t="s">
        <v>20</v>
      </c>
      <c r="H12" s="12">
        <f>TDIST(ABS(H11),H10-2,2)</f>
        <v>1.6072868094451173E-41</v>
      </c>
      <c r="I12" s="2" t="s">
        <v>21</v>
      </c>
    </row>
    <row r="13" spans="1:9" x14ac:dyDescent="0.25">
      <c r="A13" s="5">
        <v>666</v>
      </c>
      <c r="B13" s="6">
        <v>34.799999999999997</v>
      </c>
      <c r="C13" s="7">
        <f t="shared" si="0"/>
        <v>40.069555238210668</v>
      </c>
      <c r="D13" s="7">
        <f t="shared" si="1"/>
        <v>-5.2695552382106712</v>
      </c>
      <c r="G13" s="8" t="s">
        <v>22</v>
      </c>
      <c r="H13" s="13" t="str">
        <f>"Price = "&amp;TEXT(H6,"0.00")&amp;" + "&amp;TEXT(H5,"0.0000")&amp;" x Size"</f>
        <v>Price = 2.66 + 0.0562 x Size</v>
      </c>
      <c r="I13" s="2"/>
    </row>
    <row r="14" spans="1:9" x14ac:dyDescent="0.25">
      <c r="A14" s="5">
        <v>1400</v>
      </c>
      <c r="B14" s="6">
        <v>90.9</v>
      </c>
      <c r="C14" s="7">
        <f t="shared" si="0"/>
        <v>81.298496899866066</v>
      </c>
      <c r="D14" s="7">
        <f t="shared" si="1"/>
        <v>9.6015031001339395</v>
      </c>
    </row>
    <row r="15" spans="1:9" ht="15.75" x14ac:dyDescent="0.25">
      <c r="A15" s="5">
        <v>1355</v>
      </c>
      <c r="B15" s="6">
        <v>73.400000000000006</v>
      </c>
      <c r="C15" s="7">
        <f t="shared" si="0"/>
        <v>78.770836988729158</v>
      </c>
      <c r="D15" s="7">
        <f t="shared" si="1"/>
        <v>-5.3708369887291525</v>
      </c>
      <c r="G15" s="4" t="s">
        <v>23</v>
      </c>
    </row>
    <row r="16" spans="1:9" x14ac:dyDescent="0.25">
      <c r="A16" s="5">
        <v>3120</v>
      </c>
      <c r="B16" s="6">
        <v>178.5</v>
      </c>
      <c r="C16" s="7">
        <f t="shared" si="0"/>
        <v>177.91127572554356</v>
      </c>
      <c r="D16" s="7">
        <f t="shared" si="1"/>
        <v>0.58872427445643893</v>
      </c>
      <c r="G16" s="8" t="s">
        <v>24</v>
      </c>
      <c r="H16" s="14">
        <v>1800</v>
      </c>
    </row>
    <row r="17" spans="1:8" x14ac:dyDescent="0.25">
      <c r="A17" s="5">
        <v>3237</v>
      </c>
      <c r="B17" s="6">
        <v>192.3</v>
      </c>
      <c r="C17" s="7">
        <f t="shared" si="0"/>
        <v>184.48319149449952</v>
      </c>
      <c r="D17" s="7">
        <f t="shared" si="1"/>
        <v>7.8168085055004894</v>
      </c>
      <c r="G17" s="8" t="s">
        <v>25</v>
      </c>
      <c r="H17" s="15">
        <f>H6+H5*H16</f>
        <v>103.76658499886084</v>
      </c>
    </row>
    <row r="18" spans="1:8" x14ac:dyDescent="0.25">
      <c r="A18" s="5">
        <v>515</v>
      </c>
      <c r="B18" s="6">
        <v>28.2</v>
      </c>
      <c r="C18" s="7">
        <f t="shared" si="0"/>
        <v>31.587851980840146</v>
      </c>
      <c r="D18" s="7">
        <f t="shared" si="1"/>
        <v>-3.3878519808401464</v>
      </c>
    </row>
    <row r="19" spans="1:8" x14ac:dyDescent="0.25">
      <c r="A19" s="5">
        <v>1999</v>
      </c>
      <c r="B19" s="6">
        <v>115.1</v>
      </c>
      <c r="C19" s="7">
        <f t="shared" si="0"/>
        <v>114.94445882811073</v>
      </c>
      <c r="D19" s="7">
        <f t="shared" si="1"/>
        <v>0.15554117188926853</v>
      </c>
      <c r="G19" s="16" t="s">
        <v>26</v>
      </c>
    </row>
    <row r="20" spans="1:8" x14ac:dyDescent="0.25">
      <c r="A20" s="5">
        <v>2963</v>
      </c>
      <c r="B20" s="6">
        <v>170.8</v>
      </c>
      <c r="C20" s="7">
        <f t="shared" si="0"/>
        <v>169.09255114668812</v>
      </c>
      <c r="D20" s="7">
        <f t="shared" si="1"/>
        <v>1.7074488533118881</v>
      </c>
    </row>
    <row r="21" spans="1:8" x14ac:dyDescent="0.25">
      <c r="A21" s="5">
        <v>894</v>
      </c>
      <c r="B21" s="6">
        <v>54.6</v>
      </c>
      <c r="C21" s="7">
        <f t="shared" si="0"/>
        <v>52.876365454637686</v>
      </c>
      <c r="D21" s="7">
        <f t="shared" si="1"/>
        <v>1.7236345453623159</v>
      </c>
    </row>
    <row r="22" spans="1:8" x14ac:dyDescent="0.25">
      <c r="A22" s="5">
        <v>2891</v>
      </c>
      <c r="B22" s="6">
        <v>156.1</v>
      </c>
      <c r="C22" s="7">
        <f t="shared" si="0"/>
        <v>165.04829528886904</v>
      </c>
      <c r="D22" s="7">
        <f t="shared" si="1"/>
        <v>-8.9482952888690477</v>
      </c>
    </row>
    <row r="23" spans="1:8" x14ac:dyDescent="0.25">
      <c r="A23" s="5">
        <v>857</v>
      </c>
      <c r="B23" s="6">
        <v>52.6</v>
      </c>
      <c r="C23" s="7">
        <f t="shared" si="0"/>
        <v>50.798067305480672</v>
      </c>
      <c r="D23" s="7">
        <f t="shared" si="1"/>
        <v>1.8019326945193299</v>
      </c>
    </row>
    <row r="24" spans="1:8" x14ac:dyDescent="0.25">
      <c r="A24" s="5">
        <v>1903</v>
      </c>
      <c r="B24" s="6">
        <v>121.4</v>
      </c>
      <c r="C24" s="7">
        <f t="shared" si="0"/>
        <v>109.55211768435198</v>
      </c>
      <c r="D24" s="7">
        <f t="shared" si="1"/>
        <v>11.847882315648022</v>
      </c>
    </row>
    <row r="25" spans="1:8" x14ac:dyDescent="0.25">
      <c r="A25" s="5">
        <v>2949</v>
      </c>
      <c r="B25" s="6">
        <v>156.80000000000001</v>
      </c>
      <c r="C25" s="7">
        <f t="shared" si="0"/>
        <v>168.30616806322328</v>
      </c>
      <c r="D25" s="7">
        <f t="shared" si="1"/>
        <v>-11.506168063223271</v>
      </c>
    </row>
    <row r="26" spans="1:8" x14ac:dyDescent="0.25">
      <c r="A26" s="5">
        <v>1409</v>
      </c>
      <c r="B26" s="6">
        <v>89.8</v>
      </c>
      <c r="C26" s="7">
        <f t="shared" si="0"/>
        <v>81.804028882093448</v>
      </c>
      <c r="D26" s="7">
        <f t="shared" si="1"/>
        <v>7.9959711179065494</v>
      </c>
    </row>
    <row r="27" spans="1:8" x14ac:dyDescent="0.25">
      <c r="A27" s="5">
        <v>1524</v>
      </c>
      <c r="B27" s="6">
        <v>90.3</v>
      </c>
      <c r="C27" s="7">
        <f t="shared" si="0"/>
        <v>88.263604210554448</v>
      </c>
      <c r="D27" s="7">
        <f t="shared" si="1"/>
        <v>2.0363957894455496</v>
      </c>
    </row>
    <row r="28" spans="1:8" x14ac:dyDescent="0.25">
      <c r="A28" s="5">
        <v>1335</v>
      </c>
      <c r="B28" s="6">
        <v>73.599999999999994</v>
      </c>
      <c r="C28" s="7">
        <f t="shared" si="0"/>
        <v>77.64743258377942</v>
      </c>
      <c r="D28" s="7">
        <f t="shared" si="1"/>
        <v>-4.0474325837794254</v>
      </c>
    </row>
    <row r="29" spans="1:8" x14ac:dyDescent="0.25">
      <c r="A29" s="5">
        <v>2658</v>
      </c>
      <c r="B29" s="6">
        <v>168.9</v>
      </c>
      <c r="C29" s="7">
        <f t="shared" si="0"/>
        <v>151.9606339712046</v>
      </c>
      <c r="D29" s="7">
        <f t="shared" si="1"/>
        <v>16.939366028795405</v>
      </c>
    </row>
    <row r="30" spans="1:8" x14ac:dyDescent="0.25">
      <c r="A30" s="5">
        <v>1264</v>
      </c>
      <c r="B30" s="6">
        <v>80.900000000000006</v>
      </c>
      <c r="C30" s="7">
        <f t="shared" si="0"/>
        <v>73.659346946207847</v>
      </c>
      <c r="D30" s="7">
        <f t="shared" si="1"/>
        <v>7.2406530537921583</v>
      </c>
    </row>
    <row r="31" spans="1:8" x14ac:dyDescent="0.25">
      <c r="A31" s="5">
        <v>3471</v>
      </c>
      <c r="B31" s="6">
        <v>188.8</v>
      </c>
      <c r="C31" s="7">
        <f t="shared" si="0"/>
        <v>197.62702303241147</v>
      </c>
      <c r="D31" s="7">
        <f t="shared" si="1"/>
        <v>-8.8270230324114607</v>
      </c>
    </row>
    <row r="32" spans="1:8" x14ac:dyDescent="0.25">
      <c r="A32" s="5">
        <v>1835</v>
      </c>
      <c r="B32" s="6">
        <v>107.4</v>
      </c>
      <c r="C32" s="7">
        <f t="shared" si="0"/>
        <v>105.73254270752287</v>
      </c>
      <c r="D32" s="7">
        <f t="shared" si="1"/>
        <v>1.6674572924771383</v>
      </c>
    </row>
    <row r="33" spans="1:4" x14ac:dyDescent="0.25">
      <c r="A33" s="5">
        <v>1934</v>
      </c>
      <c r="B33" s="6">
        <v>116.9</v>
      </c>
      <c r="C33" s="7">
        <f t="shared" si="0"/>
        <v>111.29339451202408</v>
      </c>
      <c r="D33" s="7">
        <f t="shared" si="1"/>
        <v>5.6066054879759264</v>
      </c>
    </row>
    <row r="34" spans="1:4" x14ac:dyDescent="0.25">
      <c r="A34" s="5">
        <v>2013</v>
      </c>
      <c r="B34" s="6">
        <v>115.2</v>
      </c>
      <c r="C34" s="7">
        <f t="shared" si="0"/>
        <v>115.73084191157554</v>
      </c>
      <c r="D34" s="7">
        <f t="shared" si="1"/>
        <v>-0.53084191157553562</v>
      </c>
    </row>
    <row r="35" spans="1:4" x14ac:dyDescent="0.25">
      <c r="A35" s="5">
        <v>2247</v>
      </c>
      <c r="B35" s="6">
        <v>135.30000000000001</v>
      </c>
      <c r="C35" s="7">
        <f t="shared" si="0"/>
        <v>128.87467344948749</v>
      </c>
      <c r="D35" s="7">
        <f t="shared" si="1"/>
        <v>6.4253265505125228</v>
      </c>
    </row>
    <row r="36" spans="1:4" x14ac:dyDescent="0.25">
      <c r="A36" s="5">
        <v>2160</v>
      </c>
      <c r="B36" s="6">
        <v>124.4</v>
      </c>
      <c r="C36" s="7">
        <f t="shared" si="0"/>
        <v>123.98786428795611</v>
      </c>
      <c r="D36" s="7">
        <f t="shared" si="1"/>
        <v>0.41213571204389154</v>
      </c>
    </row>
    <row r="37" spans="1:4" x14ac:dyDescent="0.25">
      <c r="A37" s="5">
        <v>2028</v>
      </c>
      <c r="B37" s="6">
        <v>122.9</v>
      </c>
      <c r="C37" s="7">
        <f t="shared" ref="C37:C54" si="2">$H$6+$H$5*A37</f>
        <v>116.57339521528785</v>
      </c>
      <c r="D37" s="7">
        <f t="shared" ref="D37:D68" si="3">B37-C37</f>
        <v>6.3266047847121598</v>
      </c>
    </row>
    <row r="38" spans="1:4" x14ac:dyDescent="0.25">
      <c r="A38" s="5">
        <v>3486</v>
      </c>
      <c r="B38" s="6">
        <v>210.7</v>
      </c>
      <c r="C38" s="7">
        <f t="shared" si="2"/>
        <v>198.46957633612377</v>
      </c>
      <c r="D38" s="7">
        <f t="shared" si="3"/>
        <v>12.230423663876223</v>
      </c>
    </row>
    <row r="39" spans="1:4" x14ac:dyDescent="0.25">
      <c r="A39" s="5">
        <v>2922</v>
      </c>
      <c r="B39" s="6">
        <v>162.19999999999999</v>
      </c>
      <c r="C39" s="7">
        <f t="shared" si="2"/>
        <v>166.78957211654114</v>
      </c>
      <c r="D39" s="7">
        <f t="shared" si="3"/>
        <v>-4.5895721165411487</v>
      </c>
    </row>
    <row r="40" spans="1:4" x14ac:dyDescent="0.25">
      <c r="A40" s="5">
        <v>2877</v>
      </c>
      <c r="B40" s="6">
        <v>166.7</v>
      </c>
      <c r="C40" s="7">
        <f t="shared" si="2"/>
        <v>164.26191220540423</v>
      </c>
      <c r="D40" s="7">
        <f t="shared" si="3"/>
        <v>2.4380877945957593</v>
      </c>
    </row>
    <row r="41" spans="1:4" x14ac:dyDescent="0.25">
      <c r="A41" s="5">
        <v>2600</v>
      </c>
      <c r="B41" s="6">
        <v>145.9</v>
      </c>
      <c r="C41" s="7">
        <f t="shared" si="2"/>
        <v>148.70276119685036</v>
      </c>
      <c r="D41" s="7">
        <f t="shared" si="3"/>
        <v>-2.802761196850355</v>
      </c>
    </row>
    <row r="42" spans="1:4" x14ac:dyDescent="0.25">
      <c r="A42" s="5">
        <v>2366</v>
      </c>
      <c r="B42" s="6">
        <v>137.5</v>
      </c>
      <c r="C42" s="7">
        <f t="shared" si="2"/>
        <v>135.55892965893841</v>
      </c>
      <c r="D42" s="7">
        <f t="shared" si="3"/>
        <v>1.9410703410615895</v>
      </c>
    </row>
    <row r="43" spans="1:4" x14ac:dyDescent="0.25">
      <c r="A43" s="5">
        <v>1523</v>
      </c>
      <c r="B43" s="6">
        <v>79.8</v>
      </c>
      <c r="C43" s="7">
        <f t="shared" si="2"/>
        <v>88.207433990306953</v>
      </c>
      <c r="D43" s="7">
        <f t="shared" si="3"/>
        <v>-8.4074339903069557</v>
      </c>
    </row>
    <row r="44" spans="1:4" x14ac:dyDescent="0.25">
      <c r="A44" s="5">
        <v>3466</v>
      </c>
      <c r="B44" s="6">
        <v>193.5</v>
      </c>
      <c r="C44" s="7">
        <f t="shared" si="2"/>
        <v>197.34617193117401</v>
      </c>
      <c r="D44" s="7">
        <f t="shared" si="3"/>
        <v>-3.8461719311740126</v>
      </c>
    </row>
    <row r="45" spans="1:4" x14ac:dyDescent="0.25">
      <c r="A45" s="5">
        <v>1898</v>
      </c>
      <c r="B45" s="6">
        <v>108.7</v>
      </c>
      <c r="C45" s="7">
        <f t="shared" si="2"/>
        <v>109.27126658311455</v>
      </c>
      <c r="D45" s="7">
        <f t="shared" si="3"/>
        <v>-0.57126658311455003</v>
      </c>
    </row>
    <row r="46" spans="1:4" x14ac:dyDescent="0.25">
      <c r="A46" s="5">
        <v>1145</v>
      </c>
      <c r="B46" s="6">
        <v>75.3</v>
      </c>
      <c r="C46" s="7">
        <f t="shared" si="2"/>
        <v>66.975090736756897</v>
      </c>
      <c r="D46" s="7">
        <f t="shared" si="3"/>
        <v>8.3249092632431001</v>
      </c>
    </row>
    <row r="47" spans="1:4" x14ac:dyDescent="0.25">
      <c r="A47" s="5">
        <v>3035</v>
      </c>
      <c r="B47" s="6">
        <v>183.1</v>
      </c>
      <c r="C47" s="7">
        <f t="shared" si="2"/>
        <v>173.13680700450718</v>
      </c>
      <c r="D47" s="7">
        <f t="shared" si="3"/>
        <v>9.9631929954928182</v>
      </c>
    </row>
    <row r="48" spans="1:4" x14ac:dyDescent="0.25">
      <c r="A48" s="5">
        <v>980</v>
      </c>
      <c r="B48" s="6">
        <v>48.3</v>
      </c>
      <c r="C48" s="7">
        <f t="shared" si="2"/>
        <v>57.707004395921558</v>
      </c>
      <c r="D48" s="7">
        <f t="shared" si="3"/>
        <v>-9.407004395921561</v>
      </c>
    </row>
    <row r="49" spans="1:4" x14ac:dyDescent="0.25">
      <c r="A49" s="5">
        <v>3072</v>
      </c>
      <c r="B49" s="6">
        <v>169.7</v>
      </c>
      <c r="C49" s="7">
        <f t="shared" si="2"/>
        <v>175.21510515366418</v>
      </c>
      <c r="D49" s="7">
        <f t="shared" si="3"/>
        <v>-5.5151051536641944</v>
      </c>
    </row>
    <row r="50" spans="1:4" x14ac:dyDescent="0.25">
      <c r="A50" s="5">
        <v>2337</v>
      </c>
      <c r="B50" s="6">
        <v>140</v>
      </c>
      <c r="C50" s="7">
        <f t="shared" si="2"/>
        <v>133.9299932717613</v>
      </c>
      <c r="D50" s="7">
        <f t="shared" si="3"/>
        <v>6.0700067282386954</v>
      </c>
    </row>
    <row r="51" spans="1:4" x14ac:dyDescent="0.25">
      <c r="A51" s="5">
        <v>844</v>
      </c>
      <c r="B51" s="6">
        <v>35.299999999999997</v>
      </c>
      <c r="C51" s="7">
        <f t="shared" si="2"/>
        <v>50.067854442263339</v>
      </c>
      <c r="D51" s="7">
        <f t="shared" si="3"/>
        <v>-14.767854442263342</v>
      </c>
    </row>
    <row r="52" spans="1:4" x14ac:dyDescent="0.25">
      <c r="A52" s="5">
        <v>631</v>
      </c>
      <c r="B52" s="6">
        <v>35.6</v>
      </c>
      <c r="C52" s="7">
        <f t="shared" si="2"/>
        <v>38.10359752954863</v>
      </c>
      <c r="D52" s="7">
        <f t="shared" si="3"/>
        <v>-2.5035975295486281</v>
      </c>
    </row>
    <row r="53" spans="1:4" x14ac:dyDescent="0.25">
      <c r="A53" s="5">
        <v>1834</v>
      </c>
      <c r="B53" s="6">
        <v>105.9</v>
      </c>
      <c r="C53" s="7">
        <f t="shared" si="2"/>
        <v>105.67637248727539</v>
      </c>
      <c r="D53" s="7">
        <f t="shared" si="3"/>
        <v>0.22362751272461878</v>
      </c>
    </row>
    <row r="54" spans="1:4" x14ac:dyDescent="0.25">
      <c r="A54" s="5">
        <v>607</v>
      </c>
      <c r="B54" s="6">
        <v>48</v>
      </c>
      <c r="C54" s="7">
        <f t="shared" si="2"/>
        <v>36.755512243608941</v>
      </c>
      <c r="D54" s="7">
        <f t="shared" si="3"/>
        <v>11.244487756391059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Linear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Software Support</cp:lastModifiedBy>
  <cp:revision>1</cp:revision>
  <dcterms:created xsi:type="dcterms:W3CDTF">2026-10-08T09:29:00Z</dcterms:created>
  <dcterms:modified xsi:type="dcterms:W3CDTF">2026-10-08T09:36:38Z</dcterms:modified>
  <dc:language>en-US</dc:language>
</cp:coreProperties>
</file>