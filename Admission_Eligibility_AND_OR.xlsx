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Admission Eligibility" sheetId="1" state="visible" r:id="rId3"/>
    <sheet name="Notes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1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E4" authorId="0">
      <text>
        <r>
          <rPr>
            <sz val="10"/>
            <rFont val="Arial"/>
            <family val="2"/>
          </rPr>
          <t xml:space="preserve">=IF(AND(Percentage&gt;0.5, Nationality="Indian"), "Eligible", "Not Eligible")
Both conditions must be TRUE.</t>
        </r>
      </text>
    </comment>
    <comment ref="F4" authorId="0">
      <text>
        <r>
          <rPr>
            <sz val="10"/>
            <rFont val="Arial"/>
            <family val="2"/>
          </rPr>
          <t xml:space="preserve">=IF(OR(PassFail="Pass", Nationality="Foreign"), "Eligible", "Not Eligible")
At least one condition must be TRUE.</t>
        </r>
      </text>
    </comment>
  </commentList>
</comments>
</file>

<file path=xl/sharedStrings.xml><?xml version="1.0" encoding="utf-8"?>
<sst xmlns="http://schemas.openxmlformats.org/spreadsheetml/2006/main" count="109" uniqueCount="53">
  <si>
    <t xml:space="preserve">College Admission Eligibility — AND / OR Formula Practice Data</t>
  </si>
  <si>
    <t xml:space="preserve">Round 1: Eligible only if Indian AND Percentage &gt; 50%.   Round 2: Eligible if Passed OR Foreign national.</t>
  </si>
  <si>
    <t xml:space="preserve">Student Name</t>
  </si>
  <si>
    <t xml:space="preserve">Percentage</t>
  </si>
  <si>
    <t xml:space="preserve">Pass / Fail</t>
  </si>
  <si>
    <t xml:space="preserve">Nationality</t>
  </si>
  <si>
    <t xml:space="preserve">Round 1 Eligibility (AND)</t>
  </si>
  <si>
    <t xml:space="preserve">Round 2 Eligibility (OR)</t>
  </si>
  <si>
    <t xml:space="preserve">Aditi Sharma</t>
  </si>
  <si>
    <t xml:space="preserve">Pass</t>
  </si>
  <si>
    <t xml:space="preserve">Indian</t>
  </si>
  <si>
    <t xml:space="preserve">Rohan Mehta</t>
  </si>
  <si>
    <t xml:space="preserve">Fail</t>
  </si>
  <si>
    <t xml:space="preserve">Priya Iyer</t>
  </si>
  <si>
    <t xml:space="preserve">Kabir Malhotra</t>
  </si>
  <si>
    <t xml:space="preserve">Ananya Reddy</t>
  </si>
  <si>
    <t xml:space="preserve">Vikram Nair</t>
  </si>
  <si>
    <t xml:space="preserve">Sneha Kapoor</t>
  </si>
  <si>
    <t xml:space="preserve">Arjun Desai</t>
  </si>
  <si>
    <t xml:space="preserve">Neha Joshi</t>
  </si>
  <si>
    <t xml:space="preserve">Aryan Verma</t>
  </si>
  <si>
    <t xml:space="preserve">Ishita Bose</t>
  </si>
  <si>
    <t xml:space="preserve">Rahul Chatterjee</t>
  </si>
  <si>
    <t xml:space="preserve">Pooja Agarwal</t>
  </si>
  <si>
    <t xml:space="preserve">Siddharth Rao</t>
  </si>
  <si>
    <t xml:space="preserve">Divya Menon</t>
  </si>
  <si>
    <t xml:space="preserve">Karan Singh</t>
  </si>
  <si>
    <t xml:space="preserve">Meera Pillai</t>
  </si>
  <si>
    <t xml:space="preserve">Aditya Gupta</t>
  </si>
  <si>
    <t xml:space="preserve">Riya Kulkarni</t>
  </si>
  <si>
    <t xml:space="preserve">Nikhil Bhatt</t>
  </si>
  <si>
    <t xml:space="preserve">Elena Petrov</t>
  </si>
  <si>
    <t xml:space="preserve">Foreign</t>
  </si>
  <si>
    <t xml:space="preserve">Wei Zhang</t>
  </si>
  <si>
    <t xml:space="preserve">John Smith</t>
  </si>
  <si>
    <t xml:space="preserve">Maria Garcia</t>
  </si>
  <si>
    <t xml:space="preserve">Liam O'Connor</t>
  </si>
  <si>
    <t xml:space="preserve">Sofia Rossi</t>
  </si>
  <si>
    <t xml:space="preserve">Yuki Tanaka</t>
  </si>
  <si>
    <t xml:space="preserve">Hans Muller</t>
  </si>
  <si>
    <t xml:space="preserve">Fatima Al-Sayed</t>
  </si>
  <si>
    <t xml:space="preserve">Chloe Dubois</t>
  </si>
  <si>
    <t xml:space="preserve">Notes &amp; Assumptions</t>
  </si>
  <si>
    <t xml:space="preserve">Data: 30 students (20 Indian, 10 Foreign), used to teach AND / OR combined with IF.</t>
  </si>
  <si>
    <t xml:space="preserve">Pass mark assumption: Pass/Fail is given as raw input data (assume a 40% pass mark was already applied).</t>
  </si>
  <si>
    <t xml:space="preserve">Round 1 - AND (both conditions required):</t>
  </si>
  <si>
    <t xml:space="preserve">Formula:  IF(AND(Percentage&gt;0.5, Nationality="Indian"), "Eligible", "Not Eligible")</t>
  </si>
  <si>
    <t xml:space="preserve">Only Indian students scoring above 50% are eligible.</t>
  </si>
  <si>
    <t xml:space="preserve">Round 2 - OR (at least one condition required):</t>
  </si>
  <si>
    <t xml:space="preserve">Formula:  IF(OR(Pass/Fail="Pass", Nationality="Foreign"), "Eligible", "Not Eligible")</t>
  </si>
  <si>
    <t xml:space="preserve">Any student who passed OR any foreign student (regardless of marks) is eligible.</t>
  </si>
  <si>
    <t xml:space="preserve">Key contrast row: Elena Petrov (Foreign, 33%, Fail) is Not Eligible in Round 1</t>
  </si>
  <si>
    <t xml:space="preserve">but Eligible in Round 2 - purely because she is a foreign national (OR needs only one TRUE condition).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</si>
</sst>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%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Arial"/>
      <family val="0"/>
      <charset val="1"/>
    </font>
    <font>
      <i val="true"/>
      <sz val="10"/>
      <color rgb="FF1E2761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.5"/>
      <color rgb="FF1E2761"/>
      <name val="Arial"/>
      <family val="0"/>
      <charset val="1"/>
    </font>
    <font>
      <b val="true"/>
      <sz val="10.5"/>
      <color rgb="FF1E2761"/>
      <name val="Arial"/>
      <family val="0"/>
      <charset val="1"/>
    </font>
    <font>
      <sz val="10"/>
      <name val="Arial"/>
      <family val="2"/>
    </font>
    <font>
      <b val="true"/>
      <sz val="13"/>
      <color rgb="FF1E2761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E2761"/>
        <bgColor rgb="FF333333"/>
      </patternFill>
    </fill>
    <fill>
      <patternFill patternType="solid">
        <fgColor rgb="FFF4F7FD"/>
        <bgColor rgb="FFFFFFFF"/>
      </patternFill>
    </fill>
    <fill>
      <patternFill patternType="solid">
        <fgColor rgb="FFFFFFFF"/>
        <bgColor rgb="FFF4F7FD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ADCFC"/>
      </left>
      <right style="thin">
        <color rgb="FFCADCFC"/>
      </right>
      <top style="thin">
        <color rgb="FFCADCFC"/>
      </top>
      <bottom style="thin">
        <color rgb="FFCADCF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5" fillId="3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6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5" fontId="7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3" borderId="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5" fontId="7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4F7FD"/>
      <rgbColor rgb="FFCCFFFF"/>
      <rgbColor rgb="FF660066"/>
      <rgbColor rgb="FFFF8080"/>
      <rgbColor rgb="FF0066CC"/>
      <rgbColor rgb="FFCADCF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E2761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3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13"/>
    <col collapsed="false" customWidth="true" hidden="false" outlineLevel="0" max="3" min="3" style="0" width="12"/>
    <col collapsed="false" customWidth="true" hidden="false" outlineLevel="0" max="4" min="4" style="0" width="13"/>
    <col collapsed="false" customWidth="true" hidden="false" outlineLevel="0" max="6" min="5" style="0" width="24"/>
  </cols>
  <sheetData>
    <row r="1" customFormat="false" ht="27.75" hidden="false" customHeight="true" outlineLevel="0" collapsed="false">
      <c r="A1" s="1" t="s">
        <v>0</v>
      </c>
      <c r="B1" s="1"/>
      <c r="C1" s="1"/>
      <c r="D1" s="1"/>
      <c r="E1" s="1"/>
      <c r="F1" s="1"/>
    </row>
    <row r="2" customFormat="false" ht="19.5" hidden="false" customHeight="true" outlineLevel="0" collapsed="false">
      <c r="A2" s="2" t="s">
        <v>1</v>
      </c>
      <c r="B2" s="2"/>
      <c r="C2" s="2"/>
      <c r="D2" s="2"/>
      <c r="E2" s="2"/>
      <c r="F2" s="2"/>
    </row>
    <row r="4" customFormat="false" ht="26.85" hidden="false" customHeight="fals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</row>
    <row r="5" customFormat="false" ht="15" hidden="false" customHeight="false" outlineLevel="0" collapsed="false">
      <c r="A5" s="4" t="s">
        <v>8</v>
      </c>
      <c r="B5" s="5" t="n">
        <v>0.78</v>
      </c>
      <c r="C5" s="6" t="s">
        <v>9</v>
      </c>
      <c r="D5" s="6" t="s">
        <v>10</v>
      </c>
      <c r="E5" s="7" t="str">
        <f aca="false">IF(AND(B5&gt;0.5,D5="Indian"),"Eligible","Not Eligible")</f>
        <v>Eligible</v>
      </c>
      <c r="F5" s="7" t="str">
        <f aca="false">IF(OR(C5="Pass",D5="Foreign"),"Eligible","Not Eligible")</f>
        <v>Eligible</v>
      </c>
    </row>
    <row r="6" customFormat="false" ht="15" hidden="false" customHeight="false" outlineLevel="0" collapsed="false">
      <c r="A6" s="8" t="s">
        <v>11</v>
      </c>
      <c r="B6" s="9" t="n">
        <v>0.38</v>
      </c>
      <c r="C6" s="10" t="s">
        <v>12</v>
      </c>
      <c r="D6" s="10" t="s">
        <v>10</v>
      </c>
      <c r="E6" s="11" t="str">
        <f aca="false">IF(AND(B6&gt;0.5,D6="Indian"),"Eligible","Not Eligible")</f>
        <v>Not Eligible</v>
      </c>
      <c r="F6" s="11" t="str">
        <f aca="false">IF(OR(C6="Pass",D6="Foreign"),"Eligible","Not Eligible")</f>
        <v>Not Eligible</v>
      </c>
    </row>
    <row r="7" customFormat="false" ht="15" hidden="false" customHeight="false" outlineLevel="0" collapsed="false">
      <c r="A7" s="4" t="s">
        <v>13</v>
      </c>
      <c r="B7" s="5" t="n">
        <v>0.92</v>
      </c>
      <c r="C7" s="6" t="s">
        <v>9</v>
      </c>
      <c r="D7" s="6" t="s">
        <v>10</v>
      </c>
      <c r="E7" s="7" t="str">
        <f aca="false">IF(AND(B7&gt;0.5,D7="Indian"),"Eligible","Not Eligible")</f>
        <v>Eligible</v>
      </c>
      <c r="F7" s="7" t="str">
        <f aca="false">IF(OR(C7="Pass",D7="Foreign"),"Eligible","Not Eligible")</f>
        <v>Eligible</v>
      </c>
    </row>
    <row r="8" customFormat="false" ht="15" hidden="false" customHeight="false" outlineLevel="0" collapsed="false">
      <c r="A8" s="8" t="s">
        <v>14</v>
      </c>
      <c r="B8" s="9" t="n">
        <v>0.45</v>
      </c>
      <c r="C8" s="10" t="s">
        <v>9</v>
      </c>
      <c r="D8" s="10" t="s">
        <v>10</v>
      </c>
      <c r="E8" s="11" t="str">
        <f aca="false">IF(AND(B8&gt;0.5,D8="Indian"),"Eligible","Not Eligible")</f>
        <v>Not Eligible</v>
      </c>
      <c r="F8" s="11" t="str">
        <f aca="false">IF(OR(C8="Pass",D8="Foreign"),"Eligible","Not Eligible")</f>
        <v>Eligible</v>
      </c>
    </row>
    <row r="9" customFormat="false" ht="15" hidden="false" customHeight="false" outlineLevel="0" collapsed="false">
      <c r="A9" s="4" t="s">
        <v>15</v>
      </c>
      <c r="B9" s="5" t="n">
        <v>0.33</v>
      </c>
      <c r="C9" s="6" t="s">
        <v>12</v>
      </c>
      <c r="D9" s="6" t="s">
        <v>10</v>
      </c>
      <c r="E9" s="7" t="str">
        <f aca="false">IF(AND(B9&gt;0.5,D9="Indian"),"Eligible","Not Eligible")</f>
        <v>Not Eligible</v>
      </c>
      <c r="F9" s="7" t="str">
        <f aca="false">IF(OR(C9="Pass",D9="Foreign"),"Eligible","Not Eligible")</f>
        <v>Not Eligible</v>
      </c>
    </row>
    <row r="10" customFormat="false" ht="15" hidden="false" customHeight="false" outlineLevel="0" collapsed="false">
      <c r="A10" s="8" t="s">
        <v>16</v>
      </c>
      <c r="B10" s="9" t="n">
        <v>0.67</v>
      </c>
      <c r="C10" s="10" t="s">
        <v>9</v>
      </c>
      <c r="D10" s="10" t="s">
        <v>10</v>
      </c>
      <c r="E10" s="11" t="str">
        <f aca="false">IF(AND(B10&gt;0.5,D10="Indian"),"Eligible","Not Eligible")</f>
        <v>Eligible</v>
      </c>
      <c r="F10" s="11" t="str">
        <f aca="false">IF(OR(C10="Pass",D10="Foreign"),"Eligible","Not Eligible")</f>
        <v>Eligible</v>
      </c>
    </row>
    <row r="11" customFormat="false" ht="15" hidden="false" customHeight="false" outlineLevel="0" collapsed="false">
      <c r="A11" s="4" t="s">
        <v>17</v>
      </c>
      <c r="B11" s="5" t="n">
        <v>0.55</v>
      </c>
      <c r="C11" s="6" t="s">
        <v>9</v>
      </c>
      <c r="D11" s="6" t="s">
        <v>10</v>
      </c>
      <c r="E11" s="7" t="str">
        <f aca="false">IF(AND(B11&gt;0.5,D11="Indian"),"Eligible","Not Eligible")</f>
        <v>Eligible</v>
      </c>
      <c r="F11" s="7" t="str">
        <f aca="false">IF(OR(C11="Pass",D11="Foreign"),"Eligible","Not Eligible")</f>
        <v>Eligible</v>
      </c>
    </row>
    <row r="12" customFormat="false" ht="15" hidden="false" customHeight="false" outlineLevel="0" collapsed="false">
      <c r="A12" s="8" t="s">
        <v>18</v>
      </c>
      <c r="B12" s="9" t="n">
        <v>0.29</v>
      </c>
      <c r="C12" s="10" t="s">
        <v>12</v>
      </c>
      <c r="D12" s="10" t="s">
        <v>10</v>
      </c>
      <c r="E12" s="11" t="str">
        <f aca="false">IF(AND(B12&gt;0.5,D12="Indian"),"Eligible","Not Eligible")</f>
        <v>Not Eligible</v>
      </c>
      <c r="F12" s="11" t="str">
        <f aca="false">IF(OR(C12="Pass",D12="Foreign"),"Eligible","Not Eligible")</f>
        <v>Not Eligible</v>
      </c>
    </row>
    <row r="13" customFormat="false" ht="15" hidden="false" customHeight="false" outlineLevel="0" collapsed="false">
      <c r="A13" s="4" t="s">
        <v>19</v>
      </c>
      <c r="B13" s="5" t="n">
        <v>0.81</v>
      </c>
      <c r="C13" s="6" t="s">
        <v>9</v>
      </c>
      <c r="D13" s="6" t="s">
        <v>10</v>
      </c>
      <c r="E13" s="7" t="str">
        <f aca="false">IF(AND(B13&gt;0.5,D13="Indian"),"Eligible","Not Eligible")</f>
        <v>Eligible</v>
      </c>
      <c r="F13" s="7" t="str">
        <f aca="false">IF(OR(C13="Pass",D13="Foreign"),"Eligible","Not Eligible")</f>
        <v>Eligible</v>
      </c>
    </row>
    <row r="14" customFormat="false" ht="15" hidden="false" customHeight="false" outlineLevel="0" collapsed="false">
      <c r="A14" s="8" t="s">
        <v>20</v>
      </c>
      <c r="B14" s="9" t="n">
        <v>0.4</v>
      </c>
      <c r="C14" s="10" t="s">
        <v>9</v>
      </c>
      <c r="D14" s="10" t="s">
        <v>10</v>
      </c>
      <c r="E14" s="11" t="str">
        <f aca="false">IF(AND(B14&gt;0.5,D14="Indian"),"Eligible","Not Eligible")</f>
        <v>Not Eligible</v>
      </c>
      <c r="F14" s="11" t="str">
        <f aca="false">IF(OR(C14="Pass",D14="Foreign"),"Eligible","Not Eligible")</f>
        <v>Eligible</v>
      </c>
    </row>
    <row r="15" customFormat="false" ht="15" hidden="false" customHeight="false" outlineLevel="0" collapsed="false">
      <c r="A15" s="4" t="s">
        <v>21</v>
      </c>
      <c r="B15" s="5" t="n">
        <v>0.62</v>
      </c>
      <c r="C15" s="6" t="s">
        <v>9</v>
      </c>
      <c r="D15" s="6" t="s">
        <v>10</v>
      </c>
      <c r="E15" s="7" t="str">
        <f aca="false">IF(AND(B15&gt;0.5,D15="Indian"),"Eligible","Not Eligible")</f>
        <v>Eligible</v>
      </c>
      <c r="F15" s="7" t="str">
        <f aca="false">IF(OR(C15="Pass",D15="Foreign"),"Eligible","Not Eligible")</f>
        <v>Eligible</v>
      </c>
    </row>
    <row r="16" customFormat="false" ht="15" hidden="false" customHeight="false" outlineLevel="0" collapsed="false">
      <c r="A16" s="8" t="s">
        <v>22</v>
      </c>
      <c r="B16" s="9" t="n">
        <v>0.48</v>
      </c>
      <c r="C16" s="10" t="s">
        <v>9</v>
      </c>
      <c r="D16" s="10" t="s">
        <v>10</v>
      </c>
      <c r="E16" s="11" t="str">
        <f aca="false">IF(AND(B16&gt;0.5,D16="Indian"),"Eligible","Not Eligible")</f>
        <v>Not Eligible</v>
      </c>
      <c r="F16" s="11" t="str">
        <f aca="false">IF(OR(C16="Pass",D16="Foreign"),"Eligible","Not Eligible")</f>
        <v>Eligible</v>
      </c>
    </row>
    <row r="17" customFormat="false" ht="15" hidden="false" customHeight="false" outlineLevel="0" collapsed="false">
      <c r="A17" s="4" t="s">
        <v>23</v>
      </c>
      <c r="B17" s="5" t="n">
        <v>0.5</v>
      </c>
      <c r="C17" s="6" t="s">
        <v>9</v>
      </c>
      <c r="D17" s="6" t="s">
        <v>10</v>
      </c>
      <c r="E17" s="7" t="str">
        <f aca="false">IF(AND(B17&gt;0.5,D17="Indian"),"Eligible","Not Eligible")</f>
        <v>Not Eligible</v>
      </c>
      <c r="F17" s="7" t="str">
        <f aca="false">IF(OR(C17="Pass",D17="Foreign"),"Eligible","Not Eligible")</f>
        <v>Eligible</v>
      </c>
    </row>
    <row r="18" customFormat="false" ht="15" hidden="false" customHeight="false" outlineLevel="0" collapsed="false">
      <c r="A18" s="8" t="s">
        <v>24</v>
      </c>
      <c r="B18" s="9" t="n">
        <v>0.73</v>
      </c>
      <c r="C18" s="10" t="s">
        <v>9</v>
      </c>
      <c r="D18" s="10" t="s">
        <v>10</v>
      </c>
      <c r="E18" s="11" t="str">
        <f aca="false">IF(AND(B18&gt;0.5,D18="Indian"),"Eligible","Not Eligible")</f>
        <v>Eligible</v>
      </c>
      <c r="F18" s="11" t="str">
        <f aca="false">IF(OR(C18="Pass",D18="Foreign"),"Eligible","Not Eligible")</f>
        <v>Eligible</v>
      </c>
    </row>
    <row r="19" customFormat="false" ht="15" hidden="false" customHeight="false" outlineLevel="0" collapsed="false">
      <c r="A19" s="4" t="s">
        <v>25</v>
      </c>
      <c r="B19" s="5" t="n">
        <v>0.36</v>
      </c>
      <c r="C19" s="6" t="s">
        <v>12</v>
      </c>
      <c r="D19" s="6" t="s">
        <v>10</v>
      </c>
      <c r="E19" s="7" t="str">
        <f aca="false">IF(AND(B19&gt;0.5,D19="Indian"),"Eligible","Not Eligible")</f>
        <v>Not Eligible</v>
      </c>
      <c r="F19" s="7" t="str">
        <f aca="false">IF(OR(C19="Pass",D19="Foreign"),"Eligible","Not Eligible")</f>
        <v>Not Eligible</v>
      </c>
    </row>
    <row r="20" customFormat="false" ht="15" hidden="false" customHeight="false" outlineLevel="0" collapsed="false">
      <c r="A20" s="8" t="s">
        <v>26</v>
      </c>
      <c r="B20" s="9" t="n">
        <v>0.88</v>
      </c>
      <c r="C20" s="10" t="s">
        <v>9</v>
      </c>
      <c r="D20" s="10" t="s">
        <v>10</v>
      </c>
      <c r="E20" s="11" t="str">
        <f aca="false">IF(AND(B20&gt;0.5,D20="Indian"),"Eligible","Not Eligible")</f>
        <v>Eligible</v>
      </c>
      <c r="F20" s="11" t="str">
        <f aca="false">IF(OR(C20="Pass",D20="Foreign"),"Eligible","Not Eligible")</f>
        <v>Eligible</v>
      </c>
    </row>
    <row r="21" customFormat="false" ht="15" hidden="false" customHeight="false" outlineLevel="0" collapsed="false">
      <c r="A21" s="4" t="s">
        <v>27</v>
      </c>
      <c r="B21" s="5" t="n">
        <v>0.24</v>
      </c>
      <c r="C21" s="6" t="s">
        <v>12</v>
      </c>
      <c r="D21" s="6" t="s">
        <v>10</v>
      </c>
      <c r="E21" s="7" t="str">
        <f aca="false">IF(AND(B21&gt;0.5,D21="Indian"),"Eligible","Not Eligible")</f>
        <v>Not Eligible</v>
      </c>
      <c r="F21" s="7" t="str">
        <f aca="false">IF(OR(C21="Pass",D21="Foreign"),"Eligible","Not Eligible")</f>
        <v>Not Eligible</v>
      </c>
    </row>
    <row r="22" customFormat="false" ht="15" hidden="false" customHeight="false" outlineLevel="0" collapsed="false">
      <c r="A22" s="8" t="s">
        <v>28</v>
      </c>
      <c r="B22" s="9" t="n">
        <v>0.59</v>
      </c>
      <c r="C22" s="10" t="s">
        <v>9</v>
      </c>
      <c r="D22" s="10" t="s">
        <v>10</v>
      </c>
      <c r="E22" s="11" t="str">
        <f aca="false">IF(AND(B22&gt;0.5,D22="Indian"),"Eligible","Not Eligible")</f>
        <v>Eligible</v>
      </c>
      <c r="F22" s="11" t="str">
        <f aca="false">IF(OR(C22="Pass",D22="Foreign"),"Eligible","Not Eligible")</f>
        <v>Eligible</v>
      </c>
    </row>
    <row r="23" customFormat="false" ht="15" hidden="false" customHeight="false" outlineLevel="0" collapsed="false">
      <c r="A23" s="4" t="s">
        <v>29</v>
      </c>
      <c r="B23" s="5" t="n">
        <v>0.44</v>
      </c>
      <c r="C23" s="6" t="s">
        <v>9</v>
      </c>
      <c r="D23" s="6" t="s">
        <v>10</v>
      </c>
      <c r="E23" s="7" t="str">
        <f aca="false">IF(AND(B23&gt;0.5,D23="Indian"),"Eligible","Not Eligible")</f>
        <v>Not Eligible</v>
      </c>
      <c r="F23" s="7" t="str">
        <f aca="false">IF(OR(C23="Pass",D23="Foreign"),"Eligible","Not Eligible")</f>
        <v>Eligible</v>
      </c>
    </row>
    <row r="24" customFormat="false" ht="15" hidden="false" customHeight="false" outlineLevel="0" collapsed="false">
      <c r="A24" s="8" t="s">
        <v>30</v>
      </c>
      <c r="B24" s="9" t="n">
        <v>0.51</v>
      </c>
      <c r="C24" s="10" t="s">
        <v>9</v>
      </c>
      <c r="D24" s="10" t="s">
        <v>10</v>
      </c>
      <c r="E24" s="11" t="str">
        <f aca="false">IF(AND(B24&gt;0.5,D24="Indian"),"Eligible","Not Eligible")</f>
        <v>Eligible</v>
      </c>
      <c r="F24" s="11" t="str">
        <f aca="false">IF(OR(C24="Pass",D24="Foreign"),"Eligible","Not Eligible")</f>
        <v>Eligible</v>
      </c>
    </row>
    <row r="25" customFormat="false" ht="15" hidden="false" customHeight="false" outlineLevel="0" collapsed="false">
      <c r="A25" s="4" t="s">
        <v>31</v>
      </c>
      <c r="B25" s="5" t="n">
        <v>0.33</v>
      </c>
      <c r="C25" s="6" t="s">
        <v>12</v>
      </c>
      <c r="D25" s="6" t="s">
        <v>32</v>
      </c>
      <c r="E25" s="7" t="str">
        <f aca="false">IF(AND(B25&gt;0.5,D25="Indian"),"Eligible","Not Eligible")</f>
        <v>Not Eligible</v>
      </c>
      <c r="F25" s="7" t="str">
        <f aca="false">IF(OR(C25="Pass",D25="Foreign"),"Eligible","Not Eligible")</f>
        <v>Eligible</v>
      </c>
    </row>
    <row r="26" customFormat="false" ht="15" hidden="false" customHeight="false" outlineLevel="0" collapsed="false">
      <c r="A26" s="8" t="s">
        <v>33</v>
      </c>
      <c r="B26" s="9" t="n">
        <v>0.82</v>
      </c>
      <c r="C26" s="10" t="s">
        <v>9</v>
      </c>
      <c r="D26" s="10" t="s">
        <v>32</v>
      </c>
      <c r="E26" s="11" t="str">
        <f aca="false">IF(AND(B26&gt;0.5,D26="Indian"),"Eligible","Not Eligible")</f>
        <v>Not Eligible</v>
      </c>
      <c r="F26" s="11" t="str">
        <f aca="false">IF(OR(C26="Pass",D26="Foreign"),"Eligible","Not Eligible")</f>
        <v>Eligible</v>
      </c>
    </row>
    <row r="27" customFormat="false" ht="15" hidden="false" customHeight="false" outlineLevel="0" collapsed="false">
      <c r="A27" s="4" t="s">
        <v>34</v>
      </c>
      <c r="B27" s="5" t="n">
        <v>0.47</v>
      </c>
      <c r="C27" s="6" t="s">
        <v>9</v>
      </c>
      <c r="D27" s="6" t="s">
        <v>32</v>
      </c>
      <c r="E27" s="7" t="str">
        <f aca="false">IF(AND(B27&gt;0.5,D27="Indian"),"Eligible","Not Eligible")</f>
        <v>Not Eligible</v>
      </c>
      <c r="F27" s="7" t="str">
        <f aca="false">IF(OR(C27="Pass",D27="Foreign"),"Eligible","Not Eligible")</f>
        <v>Eligible</v>
      </c>
    </row>
    <row r="28" customFormat="false" ht="15" hidden="false" customHeight="false" outlineLevel="0" collapsed="false">
      <c r="A28" s="8" t="s">
        <v>35</v>
      </c>
      <c r="B28" s="9" t="n">
        <v>0.39</v>
      </c>
      <c r="C28" s="10" t="s">
        <v>12</v>
      </c>
      <c r="D28" s="10" t="s">
        <v>32</v>
      </c>
      <c r="E28" s="11" t="str">
        <f aca="false">IF(AND(B28&gt;0.5,D28="Indian"),"Eligible","Not Eligible")</f>
        <v>Not Eligible</v>
      </c>
      <c r="F28" s="11" t="str">
        <f aca="false">IF(OR(C28="Pass",D28="Foreign"),"Eligible","Not Eligible")</f>
        <v>Eligible</v>
      </c>
    </row>
    <row r="29" customFormat="false" ht="15" hidden="false" customHeight="false" outlineLevel="0" collapsed="false">
      <c r="A29" s="4" t="s">
        <v>36</v>
      </c>
      <c r="B29" s="5" t="n">
        <v>0.91</v>
      </c>
      <c r="C29" s="6" t="s">
        <v>9</v>
      </c>
      <c r="D29" s="6" t="s">
        <v>32</v>
      </c>
      <c r="E29" s="7" t="str">
        <f aca="false">IF(AND(B29&gt;0.5,D29="Indian"),"Eligible","Not Eligible")</f>
        <v>Not Eligible</v>
      </c>
      <c r="F29" s="7" t="str">
        <f aca="false">IF(OR(C29="Pass",D29="Foreign"),"Eligible","Not Eligible")</f>
        <v>Eligible</v>
      </c>
    </row>
    <row r="30" customFormat="false" ht="15" hidden="false" customHeight="false" outlineLevel="0" collapsed="false">
      <c r="A30" s="8" t="s">
        <v>37</v>
      </c>
      <c r="B30" s="9" t="n">
        <v>0.28</v>
      </c>
      <c r="C30" s="10" t="s">
        <v>12</v>
      </c>
      <c r="D30" s="10" t="s">
        <v>32</v>
      </c>
      <c r="E30" s="11" t="str">
        <f aca="false">IF(AND(B30&gt;0.5,D30="Indian"),"Eligible","Not Eligible")</f>
        <v>Not Eligible</v>
      </c>
      <c r="F30" s="11" t="str">
        <f aca="false">IF(OR(C30="Pass",D30="Foreign"),"Eligible","Not Eligible")</f>
        <v>Eligible</v>
      </c>
    </row>
    <row r="31" customFormat="false" ht="15" hidden="false" customHeight="false" outlineLevel="0" collapsed="false">
      <c r="A31" s="4" t="s">
        <v>38</v>
      </c>
      <c r="B31" s="5" t="n">
        <v>0.65</v>
      </c>
      <c r="C31" s="6" t="s">
        <v>9</v>
      </c>
      <c r="D31" s="6" t="s">
        <v>32</v>
      </c>
      <c r="E31" s="7" t="str">
        <f aca="false">IF(AND(B31&gt;0.5,D31="Indian"),"Eligible","Not Eligible")</f>
        <v>Not Eligible</v>
      </c>
      <c r="F31" s="7" t="str">
        <f aca="false">IF(OR(C31="Pass",D31="Foreign"),"Eligible","Not Eligible")</f>
        <v>Eligible</v>
      </c>
    </row>
    <row r="32" customFormat="false" ht="15" hidden="false" customHeight="false" outlineLevel="0" collapsed="false">
      <c r="A32" s="8" t="s">
        <v>39</v>
      </c>
      <c r="B32" s="9" t="n">
        <v>0.5</v>
      </c>
      <c r="C32" s="10" t="s">
        <v>9</v>
      </c>
      <c r="D32" s="10" t="s">
        <v>32</v>
      </c>
      <c r="E32" s="11" t="str">
        <f aca="false">IF(AND(B32&gt;0.5,D32="Indian"),"Eligible","Not Eligible")</f>
        <v>Not Eligible</v>
      </c>
      <c r="F32" s="11" t="str">
        <f aca="false">IF(OR(C32="Pass",D32="Foreign"),"Eligible","Not Eligible")</f>
        <v>Eligible</v>
      </c>
    </row>
    <row r="33" customFormat="false" ht="15" hidden="false" customHeight="false" outlineLevel="0" collapsed="false">
      <c r="A33" s="4" t="s">
        <v>40</v>
      </c>
      <c r="B33" s="5" t="n">
        <v>0.36</v>
      </c>
      <c r="C33" s="6" t="s">
        <v>12</v>
      </c>
      <c r="D33" s="6" t="s">
        <v>32</v>
      </c>
      <c r="E33" s="7" t="str">
        <f aca="false">IF(AND(B33&gt;0.5,D33="Indian"),"Eligible","Not Eligible")</f>
        <v>Not Eligible</v>
      </c>
      <c r="F33" s="7" t="str">
        <f aca="false">IF(OR(C33="Pass",D33="Foreign"),"Eligible","Not Eligible")</f>
        <v>Eligible</v>
      </c>
    </row>
    <row r="34" customFormat="false" ht="15" hidden="false" customHeight="false" outlineLevel="0" collapsed="false">
      <c r="A34" s="8" t="s">
        <v>41</v>
      </c>
      <c r="B34" s="9" t="n">
        <v>0.74</v>
      </c>
      <c r="C34" s="10" t="s">
        <v>9</v>
      </c>
      <c r="D34" s="10" t="s">
        <v>32</v>
      </c>
      <c r="E34" s="11" t="str">
        <f aca="false">IF(AND(B34&gt;0.5,D34="Indian"),"Eligible","Not Eligible")</f>
        <v>Not Eligible</v>
      </c>
      <c r="F34" s="11" t="str">
        <f aca="false">IF(OR(C34="Pass",D34="Foreign"),"Eligible","Not Eligible")</f>
        <v>Eligible</v>
      </c>
    </row>
  </sheetData>
  <mergeCells count="2">
    <mergeCell ref="A1:F1"/>
    <mergeCell ref="A2:F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0"/>
  </cols>
  <sheetData>
    <row r="1" customFormat="false" ht="16.15" hidden="false" customHeight="false" outlineLevel="0" collapsed="false">
      <c r="A1" s="12" t="s">
        <v>42</v>
      </c>
    </row>
    <row r="3" customFormat="false" ht="15" hidden="false" customHeight="false" outlineLevel="0" collapsed="false">
      <c r="A3" s="13" t="s">
        <v>43</v>
      </c>
    </row>
    <row r="4" customFormat="false" ht="15" hidden="false" customHeight="false" outlineLevel="0" collapsed="false">
      <c r="A4" s="13"/>
    </row>
    <row r="5" customFormat="false" ht="15" hidden="false" customHeight="false" outlineLevel="0" collapsed="false">
      <c r="A5" s="13" t="s">
        <v>44</v>
      </c>
    </row>
    <row r="6" customFormat="false" ht="15" hidden="false" customHeight="false" outlineLevel="0" collapsed="false">
      <c r="A6" s="13"/>
    </row>
    <row r="7" customFormat="false" ht="15" hidden="false" customHeight="false" outlineLevel="0" collapsed="false">
      <c r="A7" s="13" t="s">
        <v>45</v>
      </c>
    </row>
    <row r="8" customFormat="false" ht="15" hidden="false" customHeight="false" outlineLevel="0" collapsed="false">
      <c r="A8" s="13" t="s">
        <v>46</v>
      </c>
    </row>
    <row r="9" customFormat="false" ht="15" hidden="false" customHeight="false" outlineLevel="0" collapsed="false">
      <c r="A9" s="13" t="s">
        <v>47</v>
      </c>
    </row>
    <row r="10" customFormat="false" ht="15" hidden="false" customHeight="false" outlineLevel="0" collapsed="false">
      <c r="A10" s="13"/>
    </row>
    <row r="11" customFormat="false" ht="15" hidden="false" customHeight="false" outlineLevel="0" collapsed="false">
      <c r="A11" s="13" t="s">
        <v>48</v>
      </c>
    </row>
    <row r="12" customFormat="false" ht="15" hidden="false" customHeight="false" outlineLevel="0" collapsed="false">
      <c r="A12" s="13" t="s">
        <v>49</v>
      </c>
    </row>
    <row r="13" customFormat="false" ht="15" hidden="false" customHeight="false" outlineLevel="0" collapsed="false">
      <c r="A13" s="13" t="s">
        <v>50</v>
      </c>
    </row>
    <row r="14" customFormat="false" ht="15" hidden="false" customHeight="false" outlineLevel="0" collapsed="false">
      <c r="A14" s="13"/>
    </row>
    <row r="15" customFormat="false" ht="15" hidden="false" customHeight="false" outlineLevel="0" collapsed="false">
      <c r="A15" s="13" t="s">
        <v>51</v>
      </c>
    </row>
    <row r="16" customFormat="false" ht="15" hidden="false" customHeight="false" outlineLevel="0" collapsed="false">
      <c r="A16" s="13" t="s">
        <v>52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2026-07-17T06:44:30Z</dcterms:created>
  <dc:creator>openpyxl</dc:creator>
  <dc:description/>
  <dc:language>en-US</dc:language>
  <cp:lastModifiedBy/>
  <dcterms:modified xsi:type="dcterms:W3CDTF">2026-07-17T06:44:30Z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