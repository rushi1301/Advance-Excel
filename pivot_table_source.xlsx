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<sst xmlns="http://schemas.openxmlformats.org/spreadsheetml/2006/main" count="1212" uniqueCount="241">
  <si>
    <t xml:space="preserve">Order ID</t>
  </si>
  <si>
    <t xml:space="preserve">Order Date</t>
  </si>
  <si>
    <t xml:space="preserve">Region</t>
  </si>
  <si>
    <t xml:space="preserve">Country</t>
  </si>
  <si>
    <t xml:space="preserve">Sales Rep</t>
  </si>
  <si>
    <t xml:space="preserve">Product</t>
  </si>
  <si>
    <t xml:space="preserve">Category</t>
  </si>
  <si>
    <t xml:space="preserve">Units Sold</t>
  </si>
  <si>
    <t xml:space="preserve">Unit Price</t>
  </si>
  <si>
    <t xml:space="preserve">Revenue</t>
  </si>
  <si>
    <t xml:space="preserve">Discount %</t>
  </si>
  <si>
    <t xml:space="preserve">Profit</t>
  </si>
  <si>
    <t xml:space="preserve">ORD-1001</t>
  </si>
  <si>
    <t xml:space="preserve">North</t>
  </si>
  <si>
    <t xml:space="preserve">USA</t>
  </si>
  <si>
    <t xml:space="preserve">Fatima Noor</t>
  </si>
  <si>
    <t xml:space="preserve">Notebook Set</t>
  </si>
  <si>
    <t xml:space="preserve">Stationery</t>
  </si>
  <si>
    <t xml:space="preserve">ORD-1002</t>
  </si>
  <si>
    <t xml:space="preserve">Ethan Clarke</t>
  </si>
  <si>
    <t xml:space="preserve">Headphones</t>
  </si>
  <si>
    <t xml:space="preserve">Electronics</t>
  </si>
  <si>
    <t xml:space="preserve">ORD-1003</t>
  </si>
  <si>
    <t xml:space="preserve">South</t>
  </si>
  <si>
    <t xml:space="preserve">Brazil</t>
  </si>
  <si>
    <t xml:space="preserve">Laptop</t>
  </si>
  <si>
    <t xml:space="preserve">ORD-1004</t>
  </si>
  <si>
    <t xml:space="preserve">West</t>
  </si>
  <si>
    <t xml:space="preserve">UK</t>
  </si>
  <si>
    <t xml:space="preserve">Diana Osei</t>
  </si>
  <si>
    <t xml:space="preserve">ORD-1005</t>
  </si>
  <si>
    <t xml:space="preserve">Germany</t>
  </si>
  <si>
    <t xml:space="preserve">Chen Wei</t>
  </si>
  <si>
    <t xml:space="preserve">Desk Chair</t>
  </si>
  <si>
    <t xml:space="preserve">Furniture</t>
  </si>
  <si>
    <t xml:space="preserve">ORD-1006</t>
  </si>
  <si>
    <t xml:space="preserve">Canada</t>
  </si>
  <si>
    <t xml:space="preserve">Alice Kumar</t>
  </si>
  <si>
    <t xml:space="preserve">Pen Pack</t>
  </si>
  <si>
    <t xml:space="preserve">ORD-1007</t>
  </si>
  <si>
    <t xml:space="preserve">Monitor</t>
  </si>
  <si>
    <t xml:space="preserve">ORD-1008</t>
  </si>
  <si>
    <t xml:space="preserve">East</t>
  </si>
  <si>
    <t xml:space="preserve">India</t>
  </si>
  <si>
    <t xml:space="preserve">ORD-1009</t>
  </si>
  <si>
    <t xml:space="preserve">ORD-1010</t>
  </si>
  <si>
    <t xml:space="preserve">ORD-1011</t>
  </si>
  <si>
    <t xml:space="preserve">Standing Desk</t>
  </si>
  <si>
    <t xml:space="preserve">ORD-1012</t>
  </si>
  <si>
    <t xml:space="preserve">ORD-1013</t>
  </si>
  <si>
    <t xml:space="preserve">ORD-1014</t>
  </si>
  <si>
    <t xml:space="preserve">Bookshelf</t>
  </si>
  <si>
    <t xml:space="preserve">ORD-1015</t>
  </si>
  <si>
    <t xml:space="preserve">Ben Torres</t>
  </si>
  <si>
    <t xml:space="preserve">ORD-1016</t>
  </si>
  <si>
    <t xml:space="preserve">ORD-1017</t>
  </si>
  <si>
    <t xml:space="preserve">ORD-1018</t>
  </si>
  <si>
    <t xml:space="preserve">ORD-1019</t>
  </si>
  <si>
    <t xml:space="preserve">ORD-1020</t>
  </si>
  <si>
    <t xml:space="preserve">Japan</t>
  </si>
  <si>
    <t xml:space="preserve">ORD-1021</t>
  </si>
  <si>
    <t xml:space="preserve">ORD-1022</t>
  </si>
  <si>
    <t xml:space="preserve">ORD-1023</t>
  </si>
  <si>
    <t xml:space="preserve">ORD-1024</t>
  </si>
  <si>
    <t xml:space="preserve">ORD-1025</t>
  </si>
  <si>
    <t xml:space="preserve">ORD-1026</t>
  </si>
  <si>
    <t xml:space="preserve">ORD-1027</t>
  </si>
  <si>
    <t xml:space="preserve">ORD-1028</t>
  </si>
  <si>
    <t xml:space="preserve">ORD-1029</t>
  </si>
  <si>
    <t xml:space="preserve">Argentina</t>
  </si>
  <si>
    <t xml:space="preserve">ORD-1030</t>
  </si>
  <si>
    <t xml:space="preserve">ORD-1031</t>
  </si>
  <si>
    <t xml:space="preserve">ORD-1032</t>
  </si>
  <si>
    <t xml:space="preserve">ORD-1033</t>
  </si>
  <si>
    <t xml:space="preserve">ORD-1034</t>
  </si>
  <si>
    <t xml:space="preserve">ORD-1035</t>
  </si>
  <si>
    <t xml:space="preserve">ORD-1036</t>
  </si>
  <si>
    <t xml:space="preserve">ORD-1037</t>
  </si>
  <si>
    <t xml:space="preserve">ORD-1038</t>
  </si>
  <si>
    <t xml:space="preserve">ORD-1039</t>
  </si>
  <si>
    <t xml:space="preserve">ORD-1040</t>
  </si>
  <si>
    <t xml:space="preserve">ORD-1041</t>
  </si>
  <si>
    <t xml:space="preserve">ORD-1042</t>
  </si>
  <si>
    <t xml:space="preserve">ORD-1043</t>
  </si>
  <si>
    <t xml:space="preserve">ORD-1044</t>
  </si>
  <si>
    <t xml:space="preserve">ORD-1045</t>
  </si>
  <si>
    <t xml:space="preserve">ORD-1046</t>
  </si>
  <si>
    <t xml:space="preserve">ORD-1047</t>
  </si>
  <si>
    <t xml:space="preserve">ORD-1048</t>
  </si>
  <si>
    <t xml:space="preserve">ORD-1049</t>
  </si>
  <si>
    <t xml:space="preserve">ORD-1050</t>
  </si>
  <si>
    <t xml:space="preserve">ORD-1051</t>
  </si>
  <si>
    <t xml:space="preserve">ORD-1052</t>
  </si>
  <si>
    <t xml:space="preserve">ORD-1053</t>
  </si>
  <si>
    <t xml:space="preserve">ORD-1054</t>
  </si>
  <si>
    <t xml:space="preserve">ORD-1055</t>
  </si>
  <si>
    <t xml:space="preserve">ORD-1056</t>
  </si>
  <si>
    <t xml:space="preserve">ORD-1057</t>
  </si>
  <si>
    <t xml:space="preserve">ORD-1058</t>
  </si>
  <si>
    <t xml:space="preserve">ORD-1059</t>
  </si>
  <si>
    <t xml:space="preserve">ORD-1060</t>
  </si>
  <si>
    <t xml:space="preserve">ORD-1061</t>
  </si>
  <si>
    <t xml:space="preserve">ORD-1062</t>
  </si>
  <si>
    <t xml:space="preserve">ORD-1063</t>
  </si>
  <si>
    <t xml:space="preserve">ORD-1064</t>
  </si>
  <si>
    <t xml:space="preserve">ORD-1065</t>
  </si>
  <si>
    <t xml:space="preserve">ORD-1066</t>
  </si>
  <si>
    <t xml:space="preserve">ORD-1067</t>
  </si>
  <si>
    <t xml:space="preserve">ORD-1068</t>
  </si>
  <si>
    <t xml:space="preserve">ORD-1069</t>
  </si>
  <si>
    <t xml:space="preserve">ORD-1070</t>
  </si>
  <si>
    <t xml:space="preserve">ORD-1071</t>
  </si>
  <si>
    <t xml:space="preserve">ORD-1072</t>
  </si>
  <si>
    <t xml:space="preserve">ORD-1073</t>
  </si>
  <si>
    <t xml:space="preserve">ORD-1074</t>
  </si>
  <si>
    <t xml:space="preserve">ORD-1075</t>
  </si>
  <si>
    <t xml:space="preserve">ORD-1076</t>
  </si>
  <si>
    <t xml:space="preserve">ORD-1077</t>
  </si>
  <si>
    <t xml:space="preserve">ORD-1078</t>
  </si>
  <si>
    <t xml:space="preserve">ORD-1079</t>
  </si>
  <si>
    <t xml:space="preserve">ORD-1080</t>
  </si>
  <si>
    <t xml:space="preserve">ORD-1081</t>
  </si>
  <si>
    <t xml:space="preserve">ORD-1082</t>
  </si>
  <si>
    <t xml:space="preserve">ORD-1083</t>
  </si>
  <si>
    <t xml:space="preserve">ORD-1084</t>
  </si>
  <si>
    <t xml:space="preserve">ORD-1085</t>
  </si>
  <si>
    <t xml:space="preserve">ORD-1086</t>
  </si>
  <si>
    <t xml:space="preserve">ORD-1087</t>
  </si>
  <si>
    <t xml:space="preserve">ORD-1088</t>
  </si>
  <si>
    <t xml:space="preserve">ORD-1089</t>
  </si>
  <si>
    <t xml:space="preserve">ORD-1090</t>
  </si>
  <si>
    <t xml:space="preserve">ORD-1091</t>
  </si>
  <si>
    <t xml:space="preserve">ORD-1092</t>
  </si>
  <si>
    <t xml:space="preserve">ORD-1093</t>
  </si>
  <si>
    <t xml:space="preserve">ORD-1094</t>
  </si>
  <si>
    <t xml:space="preserve">ORD-1095</t>
  </si>
  <si>
    <t xml:space="preserve">ORD-1096</t>
  </si>
  <si>
    <t xml:space="preserve">ORD-1097</t>
  </si>
  <si>
    <t xml:space="preserve">ORD-1098</t>
  </si>
  <si>
    <t xml:space="preserve">ORD-1099</t>
  </si>
  <si>
    <t xml:space="preserve">ORD-1100</t>
  </si>
  <si>
    <t xml:space="preserve">ORD-1101</t>
  </si>
  <si>
    <t xml:space="preserve">ORD-1102</t>
  </si>
  <si>
    <t xml:space="preserve">ORD-1103</t>
  </si>
  <si>
    <t xml:space="preserve">ORD-1104</t>
  </si>
  <si>
    <t xml:space="preserve">ORD-1105</t>
  </si>
  <si>
    <t xml:space="preserve">ORD-1106</t>
  </si>
  <si>
    <t xml:space="preserve">ORD-1107</t>
  </si>
  <si>
    <t xml:space="preserve">ORD-1108</t>
  </si>
  <si>
    <t xml:space="preserve">ORD-1109</t>
  </si>
  <si>
    <t xml:space="preserve">ORD-1110</t>
  </si>
  <si>
    <t xml:space="preserve">ORD-1111</t>
  </si>
  <si>
    <t xml:space="preserve">ORD-1112</t>
  </si>
  <si>
    <t xml:space="preserve">ORD-1113</t>
  </si>
  <si>
    <t xml:space="preserve">ORD-1114</t>
  </si>
  <si>
    <t xml:space="preserve">ORD-1115</t>
  </si>
  <si>
    <t xml:space="preserve">ORD-1116</t>
  </si>
  <si>
    <t xml:space="preserve">ORD-1117</t>
  </si>
  <si>
    <t xml:space="preserve">ORD-1118</t>
  </si>
  <si>
    <t xml:space="preserve">ORD-1119</t>
  </si>
  <si>
    <t xml:space="preserve">ORD-1120</t>
  </si>
  <si>
    <t xml:space="preserve">ORD-1121</t>
  </si>
  <si>
    <t xml:space="preserve">ORD-1122</t>
  </si>
  <si>
    <t xml:space="preserve">ORD-1123</t>
  </si>
  <si>
    <t xml:space="preserve">ORD-1124</t>
  </si>
  <si>
    <t xml:space="preserve">ORD-1125</t>
  </si>
  <si>
    <t xml:space="preserve">ORD-1126</t>
  </si>
  <si>
    <t xml:space="preserve">ORD-1127</t>
  </si>
  <si>
    <t xml:space="preserve">ORD-1128</t>
  </si>
  <si>
    <t xml:space="preserve">ORD-1129</t>
  </si>
  <si>
    <t xml:space="preserve">ORD-1130</t>
  </si>
  <si>
    <t xml:space="preserve">ORD-1131</t>
  </si>
  <si>
    <t xml:space="preserve">ORD-1132</t>
  </si>
  <si>
    <t xml:space="preserve">ORD-1133</t>
  </si>
  <si>
    <t xml:space="preserve">ORD-1134</t>
  </si>
  <si>
    <t xml:space="preserve">ORD-1135</t>
  </si>
  <si>
    <t xml:space="preserve">ORD-1136</t>
  </si>
  <si>
    <t xml:space="preserve">ORD-1137</t>
  </si>
  <si>
    <t xml:space="preserve">ORD-1138</t>
  </si>
  <si>
    <t xml:space="preserve">ORD-1139</t>
  </si>
  <si>
    <t xml:space="preserve">ORD-1140</t>
  </si>
  <si>
    <t xml:space="preserve">ORD-1141</t>
  </si>
  <si>
    <t xml:space="preserve">ORD-1142</t>
  </si>
  <si>
    <t xml:space="preserve">ORD-1143</t>
  </si>
  <si>
    <t xml:space="preserve">ORD-1144</t>
  </si>
  <si>
    <t xml:space="preserve">ORD-1145</t>
  </si>
  <si>
    <t xml:space="preserve">ORD-1146</t>
  </si>
  <si>
    <t xml:space="preserve">ORD-1147</t>
  </si>
  <si>
    <t xml:space="preserve">ORD-1148</t>
  </si>
  <si>
    <t xml:space="preserve">ORD-1149</t>
  </si>
  <si>
    <t xml:space="preserve">ORD-1150</t>
  </si>
  <si>
    <t xml:space="preserve">ORD-1151</t>
  </si>
  <si>
    <t xml:space="preserve">ORD-1152</t>
  </si>
  <si>
    <t xml:space="preserve">ORD-1153</t>
  </si>
  <si>
    <t xml:space="preserve">ORD-1154</t>
  </si>
  <si>
    <t xml:space="preserve">ORD-1155</t>
  </si>
  <si>
    <t xml:space="preserve">ORD-1156</t>
  </si>
  <si>
    <t xml:space="preserve">ORD-1157</t>
  </si>
  <si>
    <t xml:space="preserve">ORD-1158</t>
  </si>
  <si>
    <t xml:space="preserve">ORD-1159</t>
  </si>
  <si>
    <t xml:space="preserve">ORD-1160</t>
  </si>
  <si>
    <t xml:space="preserve">ORD-1161</t>
  </si>
  <si>
    <t xml:space="preserve">ORD-1162</t>
  </si>
  <si>
    <t xml:space="preserve">ORD-1163</t>
  </si>
  <si>
    <t xml:space="preserve">ORD-1164</t>
  </si>
  <si>
    <t xml:space="preserve">ORD-1165</t>
  </si>
  <si>
    <t xml:space="preserve">ORD-1166</t>
  </si>
  <si>
    <t xml:space="preserve">ORD-1167</t>
  </si>
  <si>
    <t xml:space="preserve">ORD-1168</t>
  </si>
  <si>
    <t xml:space="preserve">ORD-1169</t>
  </si>
  <si>
    <t xml:space="preserve">ORD-1170</t>
  </si>
  <si>
    <t xml:space="preserve">ORD-1171</t>
  </si>
  <si>
    <t xml:space="preserve">ORD-1172</t>
  </si>
  <si>
    <t xml:space="preserve">ORD-1173</t>
  </si>
  <si>
    <t xml:space="preserve">ORD-1174</t>
  </si>
  <si>
    <t xml:space="preserve">ORD-1175</t>
  </si>
  <si>
    <t xml:space="preserve">ORD-1176</t>
  </si>
  <si>
    <t xml:space="preserve">ORD-1177</t>
  </si>
  <si>
    <t xml:space="preserve">ORD-1178</t>
  </si>
  <si>
    <t xml:space="preserve">ORD-1179</t>
  </si>
  <si>
    <t xml:space="preserve">ORD-1180</t>
  </si>
  <si>
    <t xml:space="preserve">ORD-1181</t>
  </si>
  <si>
    <t xml:space="preserve">ORD-1182</t>
  </si>
  <si>
    <t xml:space="preserve">ORD-1183</t>
  </si>
  <si>
    <t xml:space="preserve">ORD-1184</t>
  </si>
  <si>
    <t xml:space="preserve">ORD-1185</t>
  </si>
  <si>
    <t xml:space="preserve">ORD-1186</t>
  </si>
  <si>
    <t xml:space="preserve">ORD-1187</t>
  </si>
  <si>
    <t xml:space="preserve">ORD-1188</t>
  </si>
  <si>
    <t xml:space="preserve">ORD-1189</t>
  </si>
  <si>
    <t xml:space="preserve">ORD-1190</t>
  </si>
  <si>
    <t xml:space="preserve">ORD-1191</t>
  </si>
  <si>
    <t xml:space="preserve">ORD-1192</t>
  </si>
  <si>
    <t xml:space="preserve">ORD-1193</t>
  </si>
  <si>
    <t xml:space="preserve">ORD-1194</t>
  </si>
  <si>
    <t xml:space="preserve">ORD-1195</t>
  </si>
  <si>
    <t xml:space="preserve">ORD-1196</t>
  </si>
  <si>
    <t xml:space="preserve">ORD-1197</t>
  </si>
  <si>
    <t xml:space="preserve">ORD-1198</t>
  </si>
  <si>
    <t xml:space="preserve">ORD-1199</t>
  </si>
  <si>
    <t xml:space="preserve">ORD-1200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</si>
</sst>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"/>
    <numFmt numFmtId="167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lesData" displayName="SalesData" ref="A1:L201" headerRowCount="1" totalsRowCount="0" totalsRowShown="0">
  <autoFilter ref="A1:L201"/>
  <tableColumns count="12">
    <tableColumn id="1" name="Order ID"/>
    <tableColumn id="2" name="Order Date"/>
    <tableColumn id="3" name="Region"/>
    <tableColumn id="4" name="Country"/>
    <tableColumn id="5" name="Sales Rep"/>
    <tableColumn id="6" name="Product"/>
    <tableColumn id="7" name="Category"/>
    <tableColumn id="8" name="Units Sold"/>
    <tableColumn id="9" name="Unit Price"/>
    <tableColumn id="10" name="Revenue"/>
    <tableColumn id="11" name="Discount %"/>
    <tableColumn id="12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n">
        <v>45729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n">
        <v>8</v>
      </c>
      <c r="I2" s="4" t="n">
        <v>8</v>
      </c>
      <c r="J2" s="4" t="n">
        <f aca="false">H2*I2*(1-K2)</f>
        <v>60.8</v>
      </c>
      <c r="K2" s="5" t="n">
        <v>0.05</v>
      </c>
      <c r="L2" s="4" t="n">
        <f aca="false">J2*0.35</f>
        <v>21.28</v>
      </c>
    </row>
    <row r="3" customFormat="false" ht="15" hidden="false" customHeight="false" outlineLevel="0" collapsed="false">
      <c r="A3" s="2" t="s">
        <v>18</v>
      </c>
      <c r="B3" s="3" t="n">
        <v>45705</v>
      </c>
      <c r="C3" s="2" t="s">
        <v>13</v>
      </c>
      <c r="D3" s="2" t="s">
        <v>14</v>
      </c>
      <c r="E3" s="2" t="s">
        <v>19</v>
      </c>
      <c r="F3" s="2" t="s">
        <v>20</v>
      </c>
      <c r="G3" s="2" t="s">
        <v>21</v>
      </c>
      <c r="H3" s="2" t="n">
        <v>2</v>
      </c>
      <c r="I3" s="4" t="n">
        <v>90</v>
      </c>
      <c r="J3" s="4" t="n">
        <f aca="false">H3*I3*(1-K3)</f>
        <v>180</v>
      </c>
      <c r="K3" s="5" t="n">
        <v>0</v>
      </c>
      <c r="L3" s="4" t="n">
        <f aca="false">J3*0.35</f>
        <v>63</v>
      </c>
    </row>
    <row r="4" customFormat="false" ht="15" hidden="false" customHeight="false" outlineLevel="0" collapsed="false">
      <c r="A4" s="2" t="s">
        <v>22</v>
      </c>
      <c r="B4" s="3" t="n">
        <v>45990</v>
      </c>
      <c r="C4" s="2" t="s">
        <v>23</v>
      </c>
      <c r="D4" s="2" t="s">
        <v>24</v>
      </c>
      <c r="E4" s="2" t="s">
        <v>19</v>
      </c>
      <c r="F4" s="2" t="s">
        <v>25</v>
      </c>
      <c r="G4" s="2" t="s">
        <v>21</v>
      </c>
      <c r="H4" s="2" t="n">
        <v>18</v>
      </c>
      <c r="I4" s="4" t="n">
        <v>750</v>
      </c>
      <c r="J4" s="4" t="n">
        <f aca="false">H4*I4*(1-K4)</f>
        <v>12825</v>
      </c>
      <c r="K4" s="5" t="n">
        <v>0.05</v>
      </c>
      <c r="L4" s="4" t="n">
        <f aca="false">J4*0.35</f>
        <v>4488.75</v>
      </c>
    </row>
    <row r="5" customFormat="false" ht="15" hidden="false" customHeight="false" outlineLevel="0" collapsed="false">
      <c r="A5" s="2" t="s">
        <v>26</v>
      </c>
      <c r="B5" s="3" t="n">
        <v>46015</v>
      </c>
      <c r="C5" s="2" t="s">
        <v>27</v>
      </c>
      <c r="D5" s="2" t="s">
        <v>28</v>
      </c>
      <c r="E5" s="2" t="s">
        <v>29</v>
      </c>
      <c r="F5" s="2" t="s">
        <v>16</v>
      </c>
      <c r="G5" s="2" t="s">
        <v>17</v>
      </c>
      <c r="H5" s="2" t="n">
        <v>1</v>
      </c>
      <c r="I5" s="4" t="n">
        <v>8</v>
      </c>
      <c r="J5" s="4" t="n">
        <f aca="false">H5*I5*(1-K5)</f>
        <v>7.6</v>
      </c>
      <c r="K5" s="5" t="n">
        <v>0.05</v>
      </c>
      <c r="L5" s="4" t="n">
        <f aca="false">J5*0.35</f>
        <v>2.66</v>
      </c>
    </row>
    <row r="6" customFormat="false" ht="15" hidden="false" customHeight="false" outlineLevel="0" collapsed="false">
      <c r="A6" s="2" t="s">
        <v>30</v>
      </c>
      <c r="B6" s="3" t="n">
        <v>45710</v>
      </c>
      <c r="C6" s="2" t="s">
        <v>27</v>
      </c>
      <c r="D6" s="2" t="s">
        <v>31</v>
      </c>
      <c r="E6" s="2" t="s">
        <v>32</v>
      </c>
      <c r="F6" s="2" t="s">
        <v>33</v>
      </c>
      <c r="G6" s="2" t="s">
        <v>34</v>
      </c>
      <c r="H6" s="2" t="n">
        <v>7</v>
      </c>
      <c r="I6" s="4" t="n">
        <v>150</v>
      </c>
      <c r="J6" s="4" t="n">
        <f aca="false">H6*I6*(1-K6)</f>
        <v>945</v>
      </c>
      <c r="K6" s="5" t="n">
        <v>0.1</v>
      </c>
      <c r="L6" s="4" t="n">
        <f aca="false">J6*0.35</f>
        <v>330.75</v>
      </c>
    </row>
    <row r="7" customFormat="false" ht="15" hidden="false" customHeight="false" outlineLevel="0" collapsed="false">
      <c r="A7" s="2" t="s">
        <v>35</v>
      </c>
      <c r="B7" s="3" t="n">
        <v>45680</v>
      </c>
      <c r="C7" s="2" t="s">
        <v>13</v>
      </c>
      <c r="D7" s="2" t="s">
        <v>36</v>
      </c>
      <c r="E7" s="2" t="s">
        <v>37</v>
      </c>
      <c r="F7" s="2" t="s">
        <v>38</v>
      </c>
      <c r="G7" s="2" t="s">
        <v>17</v>
      </c>
      <c r="H7" s="2" t="n">
        <v>12</v>
      </c>
      <c r="I7" s="4" t="n">
        <v>5</v>
      </c>
      <c r="J7" s="4" t="n">
        <f aca="false">H7*I7*(1-K7)</f>
        <v>54</v>
      </c>
      <c r="K7" s="5" t="n">
        <v>0.1</v>
      </c>
      <c r="L7" s="4" t="n">
        <f aca="false">J7*0.35</f>
        <v>18.9</v>
      </c>
    </row>
    <row r="8" customFormat="false" ht="15" hidden="false" customHeight="false" outlineLevel="0" collapsed="false">
      <c r="A8" s="2" t="s">
        <v>39</v>
      </c>
      <c r="B8" s="3" t="n">
        <v>45979</v>
      </c>
      <c r="C8" s="2" t="s">
        <v>27</v>
      </c>
      <c r="D8" s="2" t="s">
        <v>28</v>
      </c>
      <c r="E8" s="2" t="s">
        <v>29</v>
      </c>
      <c r="F8" s="2" t="s">
        <v>40</v>
      </c>
      <c r="G8" s="2" t="s">
        <v>21</v>
      </c>
      <c r="H8" s="2" t="n">
        <v>18</v>
      </c>
      <c r="I8" s="4" t="n">
        <v>220</v>
      </c>
      <c r="J8" s="4" t="n">
        <f aca="false">H8*I8*(1-K8)</f>
        <v>3564</v>
      </c>
      <c r="K8" s="5" t="n">
        <v>0.1</v>
      </c>
      <c r="L8" s="4" t="n">
        <f aca="false">J8*0.35</f>
        <v>1247.4</v>
      </c>
    </row>
    <row r="9" customFormat="false" ht="15" hidden="false" customHeight="false" outlineLevel="0" collapsed="false">
      <c r="A9" s="2" t="s">
        <v>41</v>
      </c>
      <c r="B9" s="3" t="n">
        <v>45806</v>
      </c>
      <c r="C9" s="2" t="s">
        <v>42</v>
      </c>
      <c r="D9" s="2" t="s">
        <v>43</v>
      </c>
      <c r="E9" s="2" t="s">
        <v>15</v>
      </c>
      <c r="F9" s="2" t="s">
        <v>40</v>
      </c>
      <c r="G9" s="2" t="s">
        <v>21</v>
      </c>
      <c r="H9" s="2" t="n">
        <v>2</v>
      </c>
      <c r="I9" s="4" t="n">
        <v>220</v>
      </c>
      <c r="J9" s="4" t="n">
        <f aca="false">H9*I9*(1-K9)</f>
        <v>418</v>
      </c>
      <c r="K9" s="5" t="n">
        <v>0.05</v>
      </c>
      <c r="L9" s="4" t="n">
        <f aca="false">J9*0.35</f>
        <v>146.3</v>
      </c>
    </row>
    <row r="10" customFormat="false" ht="15" hidden="false" customHeight="false" outlineLevel="0" collapsed="false">
      <c r="A10" s="2" t="s">
        <v>44</v>
      </c>
      <c r="B10" s="3" t="n">
        <v>45983</v>
      </c>
      <c r="C10" s="2" t="s">
        <v>13</v>
      </c>
      <c r="D10" s="2" t="s">
        <v>14</v>
      </c>
      <c r="E10" s="2" t="s">
        <v>37</v>
      </c>
      <c r="F10" s="2" t="s">
        <v>20</v>
      </c>
      <c r="G10" s="2" t="s">
        <v>21</v>
      </c>
      <c r="H10" s="2" t="n">
        <v>9</v>
      </c>
      <c r="I10" s="4" t="n">
        <v>90</v>
      </c>
      <c r="J10" s="4" t="n">
        <f aca="false">H10*I10*(1-K10)</f>
        <v>688.5</v>
      </c>
      <c r="K10" s="5" t="n">
        <v>0.15</v>
      </c>
      <c r="L10" s="4" t="n">
        <f aca="false">J10*0.35</f>
        <v>240.975</v>
      </c>
    </row>
    <row r="11" customFormat="false" ht="15" hidden="false" customHeight="false" outlineLevel="0" collapsed="false">
      <c r="A11" s="2" t="s">
        <v>45</v>
      </c>
      <c r="B11" s="3" t="n">
        <v>46017</v>
      </c>
      <c r="C11" s="2" t="s">
        <v>42</v>
      </c>
      <c r="D11" s="2" t="s">
        <v>43</v>
      </c>
      <c r="E11" s="2" t="s">
        <v>32</v>
      </c>
      <c r="F11" s="2" t="s">
        <v>38</v>
      </c>
      <c r="G11" s="2" t="s">
        <v>17</v>
      </c>
      <c r="H11" s="2" t="n">
        <v>7</v>
      </c>
      <c r="I11" s="4" t="n">
        <v>5</v>
      </c>
      <c r="J11" s="4" t="n">
        <f aca="false">H11*I11*(1-K11)</f>
        <v>31.5</v>
      </c>
      <c r="K11" s="5" t="n">
        <v>0.1</v>
      </c>
      <c r="L11" s="4" t="n">
        <f aca="false">J11*0.35</f>
        <v>11.025</v>
      </c>
    </row>
    <row r="12" customFormat="false" ht="15" hidden="false" customHeight="false" outlineLevel="0" collapsed="false">
      <c r="A12" s="2" t="s">
        <v>46</v>
      </c>
      <c r="B12" s="3" t="n">
        <v>45852</v>
      </c>
      <c r="C12" s="2" t="s">
        <v>13</v>
      </c>
      <c r="D12" s="2" t="s">
        <v>14</v>
      </c>
      <c r="E12" s="2" t="s">
        <v>19</v>
      </c>
      <c r="F12" s="2" t="s">
        <v>47</v>
      </c>
      <c r="G12" s="2" t="s">
        <v>34</v>
      </c>
      <c r="H12" s="2" t="n">
        <v>6</v>
      </c>
      <c r="I12" s="4" t="n">
        <v>400</v>
      </c>
      <c r="J12" s="4" t="n">
        <f aca="false">H12*I12*(1-K12)</f>
        <v>2040</v>
      </c>
      <c r="K12" s="5" t="n">
        <v>0.15</v>
      </c>
      <c r="L12" s="4" t="n">
        <f aca="false">J12*0.35</f>
        <v>714</v>
      </c>
    </row>
    <row r="13" customFormat="false" ht="15" hidden="false" customHeight="false" outlineLevel="0" collapsed="false">
      <c r="A13" s="2" t="s">
        <v>48</v>
      </c>
      <c r="B13" s="3" t="n">
        <v>45775</v>
      </c>
      <c r="C13" s="2" t="s">
        <v>42</v>
      </c>
      <c r="D13" s="2" t="s">
        <v>43</v>
      </c>
      <c r="E13" s="2" t="s">
        <v>15</v>
      </c>
      <c r="F13" s="2" t="s">
        <v>38</v>
      </c>
      <c r="G13" s="2" t="s">
        <v>17</v>
      </c>
      <c r="H13" s="2" t="n">
        <v>25</v>
      </c>
      <c r="I13" s="4" t="n">
        <v>5</v>
      </c>
      <c r="J13" s="4" t="n">
        <f aca="false">H13*I13*(1-K13)</f>
        <v>125</v>
      </c>
      <c r="K13" s="5" t="n">
        <v>0</v>
      </c>
      <c r="L13" s="4" t="n">
        <f aca="false">J13*0.35</f>
        <v>43.75</v>
      </c>
    </row>
    <row r="14" customFormat="false" ht="15" hidden="false" customHeight="false" outlineLevel="0" collapsed="false">
      <c r="A14" s="2" t="s">
        <v>49</v>
      </c>
      <c r="B14" s="3" t="n">
        <v>45948</v>
      </c>
      <c r="C14" s="2" t="s">
        <v>13</v>
      </c>
      <c r="D14" s="2" t="s">
        <v>36</v>
      </c>
      <c r="E14" s="2" t="s">
        <v>29</v>
      </c>
      <c r="F14" s="2" t="s">
        <v>16</v>
      </c>
      <c r="G14" s="2" t="s">
        <v>17</v>
      </c>
      <c r="H14" s="2" t="n">
        <v>3</v>
      </c>
      <c r="I14" s="4" t="n">
        <v>8</v>
      </c>
      <c r="J14" s="4" t="n">
        <f aca="false">H14*I14*(1-K14)</f>
        <v>22.8</v>
      </c>
      <c r="K14" s="5" t="n">
        <v>0.05</v>
      </c>
      <c r="L14" s="4" t="n">
        <f aca="false">J14*0.35</f>
        <v>7.98</v>
      </c>
    </row>
    <row r="15" customFormat="false" ht="15" hidden="false" customHeight="false" outlineLevel="0" collapsed="false">
      <c r="A15" s="2" t="s">
        <v>50</v>
      </c>
      <c r="B15" s="3" t="n">
        <v>45731</v>
      </c>
      <c r="C15" s="2" t="s">
        <v>42</v>
      </c>
      <c r="D15" s="2" t="s">
        <v>43</v>
      </c>
      <c r="E15" s="2" t="s">
        <v>15</v>
      </c>
      <c r="F15" s="2" t="s">
        <v>51</v>
      </c>
      <c r="G15" s="2" t="s">
        <v>34</v>
      </c>
      <c r="H15" s="2" t="n">
        <v>13</v>
      </c>
      <c r="I15" s="4" t="n">
        <v>130</v>
      </c>
      <c r="J15" s="4" t="n">
        <f aca="false">H15*I15*(1-K15)</f>
        <v>1436.5</v>
      </c>
      <c r="K15" s="5" t="n">
        <v>0.15</v>
      </c>
      <c r="L15" s="4" t="n">
        <f aca="false">J15*0.35</f>
        <v>502.775</v>
      </c>
    </row>
    <row r="16" customFormat="false" ht="15" hidden="false" customHeight="false" outlineLevel="0" collapsed="false">
      <c r="A16" s="2" t="s">
        <v>52</v>
      </c>
      <c r="B16" s="3" t="n">
        <v>45956</v>
      </c>
      <c r="C16" s="2" t="s">
        <v>42</v>
      </c>
      <c r="D16" s="2" t="s">
        <v>43</v>
      </c>
      <c r="E16" s="2" t="s">
        <v>53</v>
      </c>
      <c r="F16" s="2" t="s">
        <v>16</v>
      </c>
      <c r="G16" s="2" t="s">
        <v>17</v>
      </c>
      <c r="H16" s="2" t="n">
        <v>24</v>
      </c>
      <c r="I16" s="4" t="n">
        <v>8</v>
      </c>
      <c r="J16" s="4" t="n">
        <f aca="false">H16*I16*(1-K16)</f>
        <v>163.2</v>
      </c>
      <c r="K16" s="5" t="n">
        <v>0.15</v>
      </c>
      <c r="L16" s="4" t="n">
        <f aca="false">J16*0.35</f>
        <v>57.12</v>
      </c>
    </row>
    <row r="17" customFormat="false" ht="15" hidden="false" customHeight="false" outlineLevel="0" collapsed="false">
      <c r="A17" s="2" t="s">
        <v>54</v>
      </c>
      <c r="B17" s="3" t="n">
        <v>45704</v>
      </c>
      <c r="C17" s="2" t="s">
        <v>27</v>
      </c>
      <c r="D17" s="2" t="s">
        <v>31</v>
      </c>
      <c r="E17" s="2" t="s">
        <v>53</v>
      </c>
      <c r="F17" s="2" t="s">
        <v>33</v>
      </c>
      <c r="G17" s="2" t="s">
        <v>34</v>
      </c>
      <c r="H17" s="2" t="n">
        <v>17</v>
      </c>
      <c r="I17" s="4" t="n">
        <v>150</v>
      </c>
      <c r="J17" s="4" t="n">
        <f aca="false">H17*I17*(1-K17)</f>
        <v>2167.5</v>
      </c>
      <c r="K17" s="5" t="n">
        <v>0.15</v>
      </c>
      <c r="L17" s="4" t="n">
        <f aca="false">J17*0.35</f>
        <v>758.625</v>
      </c>
    </row>
    <row r="18" customFormat="false" ht="15" hidden="false" customHeight="false" outlineLevel="0" collapsed="false">
      <c r="A18" s="2" t="s">
        <v>55</v>
      </c>
      <c r="B18" s="3" t="n">
        <v>45963</v>
      </c>
      <c r="C18" s="2" t="s">
        <v>13</v>
      </c>
      <c r="D18" s="2" t="s">
        <v>14</v>
      </c>
      <c r="E18" s="2" t="s">
        <v>53</v>
      </c>
      <c r="F18" s="2" t="s">
        <v>33</v>
      </c>
      <c r="G18" s="2" t="s">
        <v>34</v>
      </c>
      <c r="H18" s="2" t="n">
        <v>22</v>
      </c>
      <c r="I18" s="4" t="n">
        <v>150</v>
      </c>
      <c r="J18" s="4" t="n">
        <f aca="false">H18*I18*(1-K18)</f>
        <v>2805</v>
      </c>
      <c r="K18" s="5" t="n">
        <v>0.15</v>
      </c>
      <c r="L18" s="4" t="n">
        <f aca="false">J18*0.35</f>
        <v>981.75</v>
      </c>
    </row>
    <row r="19" customFormat="false" ht="15" hidden="false" customHeight="false" outlineLevel="0" collapsed="false">
      <c r="A19" s="2" t="s">
        <v>56</v>
      </c>
      <c r="B19" s="3" t="n">
        <v>45941</v>
      </c>
      <c r="C19" s="2" t="s">
        <v>13</v>
      </c>
      <c r="D19" s="2" t="s">
        <v>36</v>
      </c>
      <c r="E19" s="2" t="s">
        <v>29</v>
      </c>
      <c r="F19" s="2" t="s">
        <v>51</v>
      </c>
      <c r="G19" s="2" t="s">
        <v>34</v>
      </c>
      <c r="H19" s="2" t="n">
        <v>17</v>
      </c>
      <c r="I19" s="4" t="n">
        <v>130</v>
      </c>
      <c r="J19" s="4" t="n">
        <f aca="false">H19*I19*(1-K19)</f>
        <v>1989</v>
      </c>
      <c r="K19" s="5" t="n">
        <v>0.1</v>
      </c>
      <c r="L19" s="4" t="n">
        <f aca="false">J19*0.35</f>
        <v>696.15</v>
      </c>
    </row>
    <row r="20" customFormat="false" ht="15" hidden="false" customHeight="false" outlineLevel="0" collapsed="false">
      <c r="A20" s="2" t="s">
        <v>57</v>
      </c>
      <c r="B20" s="3" t="n">
        <v>45715</v>
      </c>
      <c r="C20" s="2" t="s">
        <v>13</v>
      </c>
      <c r="D20" s="2" t="s">
        <v>14</v>
      </c>
      <c r="E20" s="2" t="s">
        <v>15</v>
      </c>
      <c r="F20" s="2" t="s">
        <v>16</v>
      </c>
      <c r="G20" s="2" t="s">
        <v>17</v>
      </c>
      <c r="H20" s="2" t="n">
        <v>25</v>
      </c>
      <c r="I20" s="4" t="n">
        <v>8</v>
      </c>
      <c r="J20" s="4" t="n">
        <f aca="false">H20*I20*(1-K20)</f>
        <v>180</v>
      </c>
      <c r="K20" s="5" t="n">
        <v>0.1</v>
      </c>
      <c r="L20" s="4" t="n">
        <f aca="false">J20*0.35</f>
        <v>63</v>
      </c>
    </row>
    <row r="21" customFormat="false" ht="15" hidden="false" customHeight="false" outlineLevel="0" collapsed="false">
      <c r="A21" s="2" t="s">
        <v>58</v>
      </c>
      <c r="B21" s="3" t="n">
        <v>45914</v>
      </c>
      <c r="C21" s="2" t="s">
        <v>42</v>
      </c>
      <c r="D21" s="2" t="s">
        <v>59</v>
      </c>
      <c r="E21" s="2" t="s">
        <v>53</v>
      </c>
      <c r="F21" s="2" t="s">
        <v>51</v>
      </c>
      <c r="G21" s="2" t="s">
        <v>34</v>
      </c>
      <c r="H21" s="2" t="n">
        <v>1</v>
      </c>
      <c r="I21" s="4" t="n">
        <v>130</v>
      </c>
      <c r="J21" s="4" t="n">
        <f aca="false">H21*I21*(1-K21)</f>
        <v>117</v>
      </c>
      <c r="K21" s="5" t="n">
        <v>0.1</v>
      </c>
      <c r="L21" s="4" t="n">
        <f aca="false">J21*0.35</f>
        <v>40.95</v>
      </c>
    </row>
    <row r="22" customFormat="false" ht="15" hidden="false" customHeight="false" outlineLevel="0" collapsed="false">
      <c r="A22" s="2" t="s">
        <v>60</v>
      </c>
      <c r="B22" s="3" t="n">
        <v>45736</v>
      </c>
      <c r="C22" s="2" t="s">
        <v>23</v>
      </c>
      <c r="D22" s="2" t="s">
        <v>24</v>
      </c>
      <c r="E22" s="2" t="s">
        <v>15</v>
      </c>
      <c r="F22" s="2" t="s">
        <v>16</v>
      </c>
      <c r="G22" s="2" t="s">
        <v>17</v>
      </c>
      <c r="H22" s="2" t="n">
        <v>21</v>
      </c>
      <c r="I22" s="4" t="n">
        <v>8</v>
      </c>
      <c r="J22" s="4" t="n">
        <f aca="false">H22*I22*(1-K22)</f>
        <v>159.6</v>
      </c>
      <c r="K22" s="5" t="n">
        <v>0.05</v>
      </c>
      <c r="L22" s="4" t="n">
        <f aca="false">J22*0.35</f>
        <v>55.86</v>
      </c>
    </row>
    <row r="23" customFormat="false" ht="15" hidden="false" customHeight="false" outlineLevel="0" collapsed="false">
      <c r="A23" s="2" t="s">
        <v>61</v>
      </c>
      <c r="B23" s="3" t="n">
        <v>45908</v>
      </c>
      <c r="C23" s="2" t="s">
        <v>42</v>
      </c>
      <c r="D23" s="2" t="s">
        <v>43</v>
      </c>
      <c r="E23" s="2" t="s">
        <v>19</v>
      </c>
      <c r="F23" s="2" t="s">
        <v>25</v>
      </c>
      <c r="G23" s="2" t="s">
        <v>21</v>
      </c>
      <c r="H23" s="2" t="n">
        <v>20</v>
      </c>
      <c r="I23" s="4" t="n">
        <v>750</v>
      </c>
      <c r="J23" s="4" t="n">
        <f aca="false">H23*I23*(1-K23)</f>
        <v>13500</v>
      </c>
      <c r="K23" s="5" t="n">
        <v>0.1</v>
      </c>
      <c r="L23" s="4" t="n">
        <f aca="false">J23*0.35</f>
        <v>4725</v>
      </c>
    </row>
    <row r="24" customFormat="false" ht="15" hidden="false" customHeight="false" outlineLevel="0" collapsed="false">
      <c r="A24" s="2" t="s">
        <v>62</v>
      </c>
      <c r="B24" s="3" t="n">
        <v>45781</v>
      </c>
      <c r="C24" s="2" t="s">
        <v>13</v>
      </c>
      <c r="D24" s="2" t="s">
        <v>14</v>
      </c>
      <c r="E24" s="2" t="s">
        <v>32</v>
      </c>
      <c r="F24" s="2" t="s">
        <v>16</v>
      </c>
      <c r="G24" s="2" t="s">
        <v>17</v>
      </c>
      <c r="H24" s="2" t="n">
        <v>8</v>
      </c>
      <c r="I24" s="4" t="n">
        <v>8</v>
      </c>
      <c r="J24" s="4" t="n">
        <f aca="false">H24*I24*(1-K24)</f>
        <v>64</v>
      </c>
      <c r="K24" s="5" t="n">
        <v>0</v>
      </c>
      <c r="L24" s="4" t="n">
        <f aca="false">J24*0.35</f>
        <v>22.4</v>
      </c>
    </row>
    <row r="25" customFormat="false" ht="15" hidden="false" customHeight="false" outlineLevel="0" collapsed="false">
      <c r="A25" s="2" t="s">
        <v>63</v>
      </c>
      <c r="B25" s="3" t="n">
        <v>45723</v>
      </c>
      <c r="C25" s="2" t="s">
        <v>13</v>
      </c>
      <c r="D25" s="2" t="s">
        <v>14</v>
      </c>
      <c r="E25" s="2" t="s">
        <v>15</v>
      </c>
      <c r="F25" s="2" t="s">
        <v>51</v>
      </c>
      <c r="G25" s="2" t="s">
        <v>34</v>
      </c>
      <c r="H25" s="2" t="n">
        <v>3</v>
      </c>
      <c r="I25" s="4" t="n">
        <v>130</v>
      </c>
      <c r="J25" s="4" t="n">
        <f aca="false">H25*I25*(1-K25)</f>
        <v>370.5</v>
      </c>
      <c r="K25" s="5" t="n">
        <v>0.05</v>
      </c>
      <c r="L25" s="4" t="n">
        <f aca="false">J25*0.35</f>
        <v>129.675</v>
      </c>
    </row>
    <row r="26" customFormat="false" ht="15" hidden="false" customHeight="false" outlineLevel="0" collapsed="false">
      <c r="A26" s="2" t="s">
        <v>64</v>
      </c>
      <c r="B26" s="3" t="n">
        <v>45817</v>
      </c>
      <c r="C26" s="2" t="s">
        <v>27</v>
      </c>
      <c r="D26" s="2" t="s">
        <v>28</v>
      </c>
      <c r="E26" s="2" t="s">
        <v>32</v>
      </c>
      <c r="F26" s="2" t="s">
        <v>20</v>
      </c>
      <c r="G26" s="2" t="s">
        <v>21</v>
      </c>
      <c r="H26" s="2" t="n">
        <v>7</v>
      </c>
      <c r="I26" s="4" t="n">
        <v>90</v>
      </c>
      <c r="J26" s="4" t="n">
        <f aca="false">H26*I26*(1-K26)</f>
        <v>598.5</v>
      </c>
      <c r="K26" s="5" t="n">
        <v>0.05</v>
      </c>
      <c r="L26" s="4" t="n">
        <f aca="false">J26*0.35</f>
        <v>209.475</v>
      </c>
    </row>
    <row r="27" customFormat="false" ht="15" hidden="false" customHeight="false" outlineLevel="0" collapsed="false">
      <c r="A27" s="2" t="s">
        <v>65</v>
      </c>
      <c r="B27" s="3" t="n">
        <v>45773</v>
      </c>
      <c r="C27" s="2" t="s">
        <v>27</v>
      </c>
      <c r="D27" s="2" t="s">
        <v>31</v>
      </c>
      <c r="E27" s="2" t="s">
        <v>29</v>
      </c>
      <c r="F27" s="2" t="s">
        <v>51</v>
      </c>
      <c r="G27" s="2" t="s">
        <v>34</v>
      </c>
      <c r="H27" s="2" t="n">
        <v>4</v>
      </c>
      <c r="I27" s="4" t="n">
        <v>130</v>
      </c>
      <c r="J27" s="4" t="n">
        <f aca="false">H27*I27*(1-K27)</f>
        <v>494</v>
      </c>
      <c r="K27" s="5" t="n">
        <v>0.05</v>
      </c>
      <c r="L27" s="4" t="n">
        <f aca="false">J27*0.35</f>
        <v>172.9</v>
      </c>
    </row>
    <row r="28" customFormat="false" ht="15" hidden="false" customHeight="false" outlineLevel="0" collapsed="false">
      <c r="A28" s="2" t="s">
        <v>66</v>
      </c>
      <c r="B28" s="3" t="n">
        <v>45661</v>
      </c>
      <c r="C28" s="2" t="s">
        <v>13</v>
      </c>
      <c r="D28" s="2" t="s">
        <v>36</v>
      </c>
      <c r="E28" s="2" t="s">
        <v>37</v>
      </c>
      <c r="F28" s="2" t="s">
        <v>47</v>
      </c>
      <c r="G28" s="2" t="s">
        <v>34</v>
      </c>
      <c r="H28" s="2" t="n">
        <v>19</v>
      </c>
      <c r="I28" s="4" t="n">
        <v>400</v>
      </c>
      <c r="J28" s="4" t="n">
        <f aca="false">H28*I28*(1-K28)</f>
        <v>7220</v>
      </c>
      <c r="K28" s="5" t="n">
        <v>0.05</v>
      </c>
      <c r="L28" s="4" t="n">
        <f aca="false">J28*0.35</f>
        <v>2527</v>
      </c>
    </row>
    <row r="29" customFormat="false" ht="15" hidden="false" customHeight="false" outlineLevel="0" collapsed="false">
      <c r="A29" s="2" t="s">
        <v>67</v>
      </c>
      <c r="B29" s="3" t="n">
        <v>45694</v>
      </c>
      <c r="C29" s="2" t="s">
        <v>13</v>
      </c>
      <c r="D29" s="2" t="s">
        <v>14</v>
      </c>
      <c r="E29" s="2" t="s">
        <v>53</v>
      </c>
      <c r="F29" s="2" t="s">
        <v>40</v>
      </c>
      <c r="G29" s="2" t="s">
        <v>21</v>
      </c>
      <c r="H29" s="2" t="n">
        <v>2</v>
      </c>
      <c r="I29" s="4" t="n">
        <v>220</v>
      </c>
      <c r="J29" s="4" t="n">
        <f aca="false">H29*I29*(1-K29)</f>
        <v>396</v>
      </c>
      <c r="K29" s="5" t="n">
        <v>0.1</v>
      </c>
      <c r="L29" s="4" t="n">
        <f aca="false">J29*0.35</f>
        <v>138.6</v>
      </c>
    </row>
    <row r="30" customFormat="false" ht="15" hidden="false" customHeight="false" outlineLevel="0" collapsed="false">
      <c r="A30" s="2" t="s">
        <v>68</v>
      </c>
      <c r="B30" s="3" t="n">
        <v>45950</v>
      </c>
      <c r="C30" s="2" t="s">
        <v>23</v>
      </c>
      <c r="D30" s="2" t="s">
        <v>69</v>
      </c>
      <c r="E30" s="2" t="s">
        <v>15</v>
      </c>
      <c r="F30" s="2" t="s">
        <v>51</v>
      </c>
      <c r="G30" s="2" t="s">
        <v>34</v>
      </c>
      <c r="H30" s="2" t="n">
        <v>7</v>
      </c>
      <c r="I30" s="4" t="n">
        <v>130</v>
      </c>
      <c r="J30" s="4" t="n">
        <f aca="false">H30*I30*(1-K30)</f>
        <v>864.5</v>
      </c>
      <c r="K30" s="5" t="n">
        <v>0.05</v>
      </c>
      <c r="L30" s="4" t="n">
        <f aca="false">J30*0.35</f>
        <v>302.575</v>
      </c>
    </row>
    <row r="31" customFormat="false" ht="15" hidden="false" customHeight="false" outlineLevel="0" collapsed="false">
      <c r="A31" s="2" t="s">
        <v>70</v>
      </c>
      <c r="B31" s="3" t="n">
        <v>45707</v>
      </c>
      <c r="C31" s="2" t="s">
        <v>27</v>
      </c>
      <c r="D31" s="2" t="s">
        <v>28</v>
      </c>
      <c r="E31" s="2" t="s">
        <v>29</v>
      </c>
      <c r="F31" s="2" t="s">
        <v>20</v>
      </c>
      <c r="G31" s="2" t="s">
        <v>21</v>
      </c>
      <c r="H31" s="2" t="n">
        <v>7</v>
      </c>
      <c r="I31" s="4" t="n">
        <v>90</v>
      </c>
      <c r="J31" s="4" t="n">
        <f aca="false">H31*I31*(1-K31)</f>
        <v>630</v>
      </c>
      <c r="K31" s="5" t="n">
        <v>0</v>
      </c>
      <c r="L31" s="4" t="n">
        <f aca="false">J31*0.35</f>
        <v>220.5</v>
      </c>
    </row>
    <row r="32" customFormat="false" ht="15" hidden="false" customHeight="false" outlineLevel="0" collapsed="false">
      <c r="A32" s="2" t="s">
        <v>71</v>
      </c>
      <c r="B32" s="3" t="n">
        <v>46002</v>
      </c>
      <c r="C32" s="2" t="s">
        <v>27</v>
      </c>
      <c r="D32" s="2" t="s">
        <v>31</v>
      </c>
      <c r="E32" s="2" t="s">
        <v>29</v>
      </c>
      <c r="F32" s="2" t="s">
        <v>20</v>
      </c>
      <c r="G32" s="2" t="s">
        <v>21</v>
      </c>
      <c r="H32" s="2" t="n">
        <v>15</v>
      </c>
      <c r="I32" s="4" t="n">
        <v>90</v>
      </c>
      <c r="J32" s="4" t="n">
        <f aca="false">H32*I32*(1-K32)</f>
        <v>1350</v>
      </c>
      <c r="K32" s="5" t="n">
        <v>0</v>
      </c>
      <c r="L32" s="4" t="n">
        <f aca="false">J32*0.35</f>
        <v>472.5</v>
      </c>
    </row>
    <row r="33" customFormat="false" ht="15" hidden="false" customHeight="false" outlineLevel="0" collapsed="false">
      <c r="A33" s="2" t="s">
        <v>72</v>
      </c>
      <c r="B33" s="3" t="n">
        <v>45756</v>
      </c>
      <c r="C33" s="2" t="s">
        <v>13</v>
      </c>
      <c r="D33" s="2" t="s">
        <v>14</v>
      </c>
      <c r="E33" s="2" t="s">
        <v>29</v>
      </c>
      <c r="F33" s="2" t="s">
        <v>38</v>
      </c>
      <c r="G33" s="2" t="s">
        <v>17</v>
      </c>
      <c r="H33" s="2" t="n">
        <v>4</v>
      </c>
      <c r="I33" s="4" t="n">
        <v>5</v>
      </c>
      <c r="J33" s="4" t="n">
        <f aca="false">H33*I33*(1-K33)</f>
        <v>19</v>
      </c>
      <c r="K33" s="5" t="n">
        <v>0.05</v>
      </c>
      <c r="L33" s="4" t="n">
        <f aca="false">J33*0.35</f>
        <v>6.65</v>
      </c>
    </row>
    <row r="34" customFormat="false" ht="15" hidden="false" customHeight="false" outlineLevel="0" collapsed="false">
      <c r="A34" s="2" t="s">
        <v>73</v>
      </c>
      <c r="B34" s="3" t="n">
        <v>45894</v>
      </c>
      <c r="C34" s="2" t="s">
        <v>23</v>
      </c>
      <c r="D34" s="2" t="s">
        <v>69</v>
      </c>
      <c r="E34" s="2" t="s">
        <v>53</v>
      </c>
      <c r="F34" s="2" t="s">
        <v>20</v>
      </c>
      <c r="G34" s="2" t="s">
        <v>21</v>
      </c>
      <c r="H34" s="2" t="n">
        <v>6</v>
      </c>
      <c r="I34" s="4" t="n">
        <v>90</v>
      </c>
      <c r="J34" s="4" t="n">
        <f aca="false">H34*I34*(1-K34)</f>
        <v>486</v>
      </c>
      <c r="K34" s="5" t="n">
        <v>0.1</v>
      </c>
      <c r="L34" s="4" t="n">
        <f aca="false">J34*0.35</f>
        <v>170.1</v>
      </c>
    </row>
    <row r="35" customFormat="false" ht="15" hidden="false" customHeight="false" outlineLevel="0" collapsed="false">
      <c r="A35" s="2" t="s">
        <v>74</v>
      </c>
      <c r="B35" s="3" t="n">
        <v>45705</v>
      </c>
      <c r="C35" s="2" t="s">
        <v>23</v>
      </c>
      <c r="D35" s="2" t="s">
        <v>24</v>
      </c>
      <c r="E35" s="2" t="s">
        <v>29</v>
      </c>
      <c r="F35" s="2" t="s">
        <v>40</v>
      </c>
      <c r="G35" s="2" t="s">
        <v>21</v>
      </c>
      <c r="H35" s="2" t="n">
        <v>2</v>
      </c>
      <c r="I35" s="4" t="n">
        <v>220</v>
      </c>
      <c r="J35" s="4" t="n">
        <f aca="false">H35*I35*(1-K35)</f>
        <v>440</v>
      </c>
      <c r="K35" s="5" t="n">
        <v>0</v>
      </c>
      <c r="L35" s="4" t="n">
        <f aca="false">J35*0.35</f>
        <v>154</v>
      </c>
    </row>
    <row r="36" customFormat="false" ht="15" hidden="false" customHeight="false" outlineLevel="0" collapsed="false">
      <c r="A36" s="2" t="s">
        <v>75</v>
      </c>
      <c r="B36" s="3" t="n">
        <v>45863</v>
      </c>
      <c r="C36" s="2" t="s">
        <v>23</v>
      </c>
      <c r="D36" s="2" t="s">
        <v>24</v>
      </c>
      <c r="E36" s="2" t="s">
        <v>29</v>
      </c>
      <c r="F36" s="2" t="s">
        <v>51</v>
      </c>
      <c r="G36" s="2" t="s">
        <v>34</v>
      </c>
      <c r="H36" s="2" t="n">
        <v>16</v>
      </c>
      <c r="I36" s="4" t="n">
        <v>130</v>
      </c>
      <c r="J36" s="4" t="n">
        <f aca="false">H36*I36*(1-K36)</f>
        <v>1976</v>
      </c>
      <c r="K36" s="5" t="n">
        <v>0.05</v>
      </c>
      <c r="L36" s="4" t="n">
        <f aca="false">J36*0.35</f>
        <v>691.6</v>
      </c>
    </row>
    <row r="37" customFormat="false" ht="15" hidden="false" customHeight="false" outlineLevel="0" collapsed="false">
      <c r="A37" s="2" t="s">
        <v>76</v>
      </c>
      <c r="B37" s="3" t="n">
        <v>45890</v>
      </c>
      <c r="C37" s="2" t="s">
        <v>13</v>
      </c>
      <c r="D37" s="2" t="s">
        <v>14</v>
      </c>
      <c r="E37" s="2" t="s">
        <v>29</v>
      </c>
      <c r="F37" s="2" t="s">
        <v>25</v>
      </c>
      <c r="G37" s="2" t="s">
        <v>21</v>
      </c>
      <c r="H37" s="2" t="n">
        <v>13</v>
      </c>
      <c r="I37" s="4" t="n">
        <v>750</v>
      </c>
      <c r="J37" s="4" t="n">
        <f aca="false">H37*I37*(1-K37)</f>
        <v>8775</v>
      </c>
      <c r="K37" s="5" t="n">
        <v>0.1</v>
      </c>
      <c r="L37" s="4" t="n">
        <f aca="false">J37*0.35</f>
        <v>3071.25</v>
      </c>
    </row>
    <row r="38" customFormat="false" ht="15" hidden="false" customHeight="false" outlineLevel="0" collapsed="false">
      <c r="A38" s="2" t="s">
        <v>77</v>
      </c>
      <c r="B38" s="3" t="n">
        <v>45809</v>
      </c>
      <c r="C38" s="2" t="s">
        <v>42</v>
      </c>
      <c r="D38" s="2" t="s">
        <v>59</v>
      </c>
      <c r="E38" s="2" t="s">
        <v>15</v>
      </c>
      <c r="F38" s="2" t="s">
        <v>51</v>
      </c>
      <c r="G38" s="2" t="s">
        <v>34</v>
      </c>
      <c r="H38" s="2" t="n">
        <v>5</v>
      </c>
      <c r="I38" s="4" t="n">
        <v>130</v>
      </c>
      <c r="J38" s="4" t="n">
        <f aca="false">H38*I38*(1-K38)</f>
        <v>617.5</v>
      </c>
      <c r="K38" s="5" t="n">
        <v>0.05</v>
      </c>
      <c r="L38" s="4" t="n">
        <f aca="false">J38*0.35</f>
        <v>216.125</v>
      </c>
    </row>
    <row r="39" customFormat="false" ht="15" hidden="false" customHeight="false" outlineLevel="0" collapsed="false">
      <c r="A39" s="2" t="s">
        <v>78</v>
      </c>
      <c r="B39" s="3" t="n">
        <v>45687</v>
      </c>
      <c r="C39" s="2" t="s">
        <v>23</v>
      </c>
      <c r="D39" s="2" t="s">
        <v>24</v>
      </c>
      <c r="E39" s="2" t="s">
        <v>19</v>
      </c>
      <c r="F39" s="2" t="s">
        <v>25</v>
      </c>
      <c r="G39" s="2" t="s">
        <v>21</v>
      </c>
      <c r="H39" s="2" t="n">
        <v>24</v>
      </c>
      <c r="I39" s="4" t="n">
        <v>750</v>
      </c>
      <c r="J39" s="4" t="n">
        <f aca="false">H39*I39*(1-K39)</f>
        <v>16200</v>
      </c>
      <c r="K39" s="5" t="n">
        <v>0.1</v>
      </c>
      <c r="L39" s="4" t="n">
        <f aca="false">J39*0.35</f>
        <v>5670</v>
      </c>
    </row>
    <row r="40" customFormat="false" ht="15" hidden="false" customHeight="false" outlineLevel="0" collapsed="false">
      <c r="A40" s="2" t="s">
        <v>79</v>
      </c>
      <c r="B40" s="3" t="n">
        <v>45753</v>
      </c>
      <c r="C40" s="2" t="s">
        <v>13</v>
      </c>
      <c r="D40" s="2" t="s">
        <v>36</v>
      </c>
      <c r="E40" s="2" t="s">
        <v>19</v>
      </c>
      <c r="F40" s="2" t="s">
        <v>33</v>
      </c>
      <c r="G40" s="2" t="s">
        <v>34</v>
      </c>
      <c r="H40" s="2" t="n">
        <v>2</v>
      </c>
      <c r="I40" s="4" t="n">
        <v>150</v>
      </c>
      <c r="J40" s="4" t="n">
        <f aca="false">H40*I40*(1-K40)</f>
        <v>300</v>
      </c>
      <c r="K40" s="5" t="n">
        <v>0</v>
      </c>
      <c r="L40" s="4" t="n">
        <f aca="false">J40*0.35</f>
        <v>105</v>
      </c>
    </row>
    <row r="41" customFormat="false" ht="15" hidden="false" customHeight="false" outlineLevel="0" collapsed="false">
      <c r="A41" s="2" t="s">
        <v>80</v>
      </c>
      <c r="B41" s="3" t="n">
        <v>45949</v>
      </c>
      <c r="C41" s="2" t="s">
        <v>13</v>
      </c>
      <c r="D41" s="2" t="s">
        <v>14</v>
      </c>
      <c r="E41" s="2" t="s">
        <v>15</v>
      </c>
      <c r="F41" s="2" t="s">
        <v>47</v>
      </c>
      <c r="G41" s="2" t="s">
        <v>34</v>
      </c>
      <c r="H41" s="2" t="n">
        <v>13</v>
      </c>
      <c r="I41" s="4" t="n">
        <v>400</v>
      </c>
      <c r="J41" s="4" t="n">
        <f aca="false">H41*I41*(1-K41)</f>
        <v>5200</v>
      </c>
      <c r="K41" s="5" t="n">
        <v>0</v>
      </c>
      <c r="L41" s="4" t="n">
        <f aca="false">J41*0.35</f>
        <v>1820</v>
      </c>
    </row>
    <row r="42" customFormat="false" ht="15" hidden="false" customHeight="false" outlineLevel="0" collapsed="false">
      <c r="A42" s="2" t="s">
        <v>81</v>
      </c>
      <c r="B42" s="3" t="n">
        <v>45791</v>
      </c>
      <c r="C42" s="2" t="s">
        <v>23</v>
      </c>
      <c r="D42" s="2" t="s">
        <v>24</v>
      </c>
      <c r="E42" s="2" t="s">
        <v>19</v>
      </c>
      <c r="F42" s="2" t="s">
        <v>40</v>
      </c>
      <c r="G42" s="2" t="s">
        <v>21</v>
      </c>
      <c r="H42" s="2" t="n">
        <v>14</v>
      </c>
      <c r="I42" s="4" t="n">
        <v>220</v>
      </c>
      <c r="J42" s="4" t="n">
        <f aca="false">H42*I42*(1-K42)</f>
        <v>2772</v>
      </c>
      <c r="K42" s="5" t="n">
        <v>0.1</v>
      </c>
      <c r="L42" s="4" t="n">
        <f aca="false">J42*0.35</f>
        <v>970.2</v>
      </c>
    </row>
    <row r="43" customFormat="false" ht="15" hidden="false" customHeight="false" outlineLevel="0" collapsed="false">
      <c r="A43" s="2" t="s">
        <v>82</v>
      </c>
      <c r="B43" s="3" t="n">
        <v>46001</v>
      </c>
      <c r="C43" s="2" t="s">
        <v>23</v>
      </c>
      <c r="D43" s="2" t="s">
        <v>69</v>
      </c>
      <c r="E43" s="2" t="s">
        <v>53</v>
      </c>
      <c r="F43" s="2" t="s">
        <v>16</v>
      </c>
      <c r="G43" s="2" t="s">
        <v>17</v>
      </c>
      <c r="H43" s="2" t="n">
        <v>13</v>
      </c>
      <c r="I43" s="4" t="n">
        <v>8</v>
      </c>
      <c r="J43" s="4" t="n">
        <f aca="false">H43*I43*(1-K43)</f>
        <v>98.8</v>
      </c>
      <c r="K43" s="5" t="n">
        <v>0.05</v>
      </c>
      <c r="L43" s="4" t="n">
        <f aca="false">J43*0.35</f>
        <v>34.58</v>
      </c>
    </row>
    <row r="44" customFormat="false" ht="15" hidden="false" customHeight="false" outlineLevel="0" collapsed="false">
      <c r="A44" s="2" t="s">
        <v>83</v>
      </c>
      <c r="B44" s="3" t="n">
        <v>45976</v>
      </c>
      <c r="C44" s="2" t="s">
        <v>42</v>
      </c>
      <c r="D44" s="2" t="s">
        <v>59</v>
      </c>
      <c r="E44" s="2" t="s">
        <v>32</v>
      </c>
      <c r="F44" s="2" t="s">
        <v>40</v>
      </c>
      <c r="G44" s="2" t="s">
        <v>21</v>
      </c>
      <c r="H44" s="2" t="n">
        <v>1</v>
      </c>
      <c r="I44" s="4" t="n">
        <v>220</v>
      </c>
      <c r="J44" s="4" t="n">
        <f aca="false">H44*I44*(1-K44)</f>
        <v>187</v>
      </c>
      <c r="K44" s="5" t="n">
        <v>0.15</v>
      </c>
      <c r="L44" s="4" t="n">
        <f aca="false">J44*0.35</f>
        <v>65.45</v>
      </c>
    </row>
    <row r="45" customFormat="false" ht="15" hidden="false" customHeight="false" outlineLevel="0" collapsed="false">
      <c r="A45" s="2" t="s">
        <v>84</v>
      </c>
      <c r="B45" s="3" t="n">
        <v>45725</v>
      </c>
      <c r="C45" s="2" t="s">
        <v>13</v>
      </c>
      <c r="D45" s="2" t="s">
        <v>14</v>
      </c>
      <c r="E45" s="2" t="s">
        <v>19</v>
      </c>
      <c r="F45" s="2" t="s">
        <v>47</v>
      </c>
      <c r="G45" s="2" t="s">
        <v>34</v>
      </c>
      <c r="H45" s="2" t="n">
        <v>17</v>
      </c>
      <c r="I45" s="4" t="n">
        <v>400</v>
      </c>
      <c r="J45" s="4" t="n">
        <f aca="false">H45*I45*(1-K45)</f>
        <v>6120</v>
      </c>
      <c r="K45" s="5" t="n">
        <v>0.1</v>
      </c>
      <c r="L45" s="4" t="n">
        <f aca="false">J45*0.35</f>
        <v>2142</v>
      </c>
    </row>
    <row r="46" customFormat="false" ht="15" hidden="false" customHeight="false" outlineLevel="0" collapsed="false">
      <c r="A46" s="2" t="s">
        <v>85</v>
      </c>
      <c r="B46" s="3" t="n">
        <v>45882</v>
      </c>
      <c r="C46" s="2" t="s">
        <v>42</v>
      </c>
      <c r="D46" s="2" t="s">
        <v>43</v>
      </c>
      <c r="E46" s="2" t="s">
        <v>53</v>
      </c>
      <c r="F46" s="2" t="s">
        <v>38</v>
      </c>
      <c r="G46" s="2" t="s">
        <v>17</v>
      </c>
      <c r="H46" s="2" t="n">
        <v>10</v>
      </c>
      <c r="I46" s="4" t="n">
        <v>5</v>
      </c>
      <c r="J46" s="4" t="n">
        <f aca="false">H46*I46*(1-K46)</f>
        <v>47.5</v>
      </c>
      <c r="K46" s="5" t="n">
        <v>0.05</v>
      </c>
      <c r="L46" s="4" t="n">
        <f aca="false">J46*0.35</f>
        <v>16.625</v>
      </c>
    </row>
    <row r="47" customFormat="false" ht="15" hidden="false" customHeight="false" outlineLevel="0" collapsed="false">
      <c r="A47" s="2" t="s">
        <v>86</v>
      </c>
      <c r="B47" s="3" t="n">
        <v>45726</v>
      </c>
      <c r="C47" s="2" t="s">
        <v>42</v>
      </c>
      <c r="D47" s="2" t="s">
        <v>43</v>
      </c>
      <c r="E47" s="2" t="s">
        <v>15</v>
      </c>
      <c r="F47" s="2" t="s">
        <v>16</v>
      </c>
      <c r="G47" s="2" t="s">
        <v>17</v>
      </c>
      <c r="H47" s="2" t="n">
        <v>22</v>
      </c>
      <c r="I47" s="4" t="n">
        <v>8</v>
      </c>
      <c r="J47" s="4" t="n">
        <f aca="false">H47*I47*(1-K47)</f>
        <v>176</v>
      </c>
      <c r="K47" s="5" t="n">
        <v>0</v>
      </c>
      <c r="L47" s="4" t="n">
        <f aca="false">J47*0.35</f>
        <v>61.6</v>
      </c>
    </row>
    <row r="48" customFormat="false" ht="15" hidden="false" customHeight="false" outlineLevel="0" collapsed="false">
      <c r="A48" s="2" t="s">
        <v>87</v>
      </c>
      <c r="B48" s="3" t="n">
        <v>45967</v>
      </c>
      <c r="C48" s="2" t="s">
        <v>42</v>
      </c>
      <c r="D48" s="2" t="s">
        <v>43</v>
      </c>
      <c r="E48" s="2" t="s">
        <v>37</v>
      </c>
      <c r="F48" s="2" t="s">
        <v>33</v>
      </c>
      <c r="G48" s="2" t="s">
        <v>34</v>
      </c>
      <c r="H48" s="2" t="n">
        <v>9</v>
      </c>
      <c r="I48" s="4" t="n">
        <v>150</v>
      </c>
      <c r="J48" s="4" t="n">
        <f aca="false">H48*I48*(1-K48)</f>
        <v>1215</v>
      </c>
      <c r="K48" s="5" t="n">
        <v>0.1</v>
      </c>
      <c r="L48" s="4" t="n">
        <f aca="false">J48*0.35</f>
        <v>425.25</v>
      </c>
    </row>
    <row r="49" customFormat="false" ht="15" hidden="false" customHeight="false" outlineLevel="0" collapsed="false">
      <c r="A49" s="2" t="s">
        <v>88</v>
      </c>
      <c r="B49" s="3" t="n">
        <v>45786</v>
      </c>
      <c r="C49" s="2" t="s">
        <v>23</v>
      </c>
      <c r="D49" s="2" t="s">
        <v>69</v>
      </c>
      <c r="E49" s="2" t="s">
        <v>53</v>
      </c>
      <c r="F49" s="2" t="s">
        <v>16</v>
      </c>
      <c r="G49" s="2" t="s">
        <v>17</v>
      </c>
      <c r="H49" s="2" t="n">
        <v>17</v>
      </c>
      <c r="I49" s="4" t="n">
        <v>8</v>
      </c>
      <c r="J49" s="4" t="n">
        <f aca="false">H49*I49*(1-K49)</f>
        <v>115.6</v>
      </c>
      <c r="K49" s="5" t="n">
        <v>0.15</v>
      </c>
      <c r="L49" s="4" t="n">
        <f aca="false">J49*0.35</f>
        <v>40.46</v>
      </c>
    </row>
    <row r="50" customFormat="false" ht="15" hidden="false" customHeight="false" outlineLevel="0" collapsed="false">
      <c r="A50" s="2" t="s">
        <v>89</v>
      </c>
      <c r="B50" s="3" t="n">
        <v>45659</v>
      </c>
      <c r="C50" s="2" t="s">
        <v>13</v>
      </c>
      <c r="D50" s="2" t="s">
        <v>14</v>
      </c>
      <c r="E50" s="2" t="s">
        <v>15</v>
      </c>
      <c r="F50" s="2" t="s">
        <v>20</v>
      </c>
      <c r="G50" s="2" t="s">
        <v>21</v>
      </c>
      <c r="H50" s="2" t="n">
        <v>9</v>
      </c>
      <c r="I50" s="4" t="n">
        <v>90</v>
      </c>
      <c r="J50" s="4" t="n">
        <f aca="false">H50*I50*(1-K50)</f>
        <v>810</v>
      </c>
      <c r="K50" s="5" t="n">
        <v>0</v>
      </c>
      <c r="L50" s="4" t="n">
        <f aca="false">J50*0.35</f>
        <v>283.5</v>
      </c>
    </row>
    <row r="51" customFormat="false" ht="15" hidden="false" customHeight="false" outlineLevel="0" collapsed="false">
      <c r="A51" s="2" t="s">
        <v>90</v>
      </c>
      <c r="B51" s="3" t="n">
        <v>45940</v>
      </c>
      <c r="C51" s="2" t="s">
        <v>42</v>
      </c>
      <c r="D51" s="2" t="s">
        <v>43</v>
      </c>
      <c r="E51" s="2" t="s">
        <v>15</v>
      </c>
      <c r="F51" s="2" t="s">
        <v>16</v>
      </c>
      <c r="G51" s="2" t="s">
        <v>17</v>
      </c>
      <c r="H51" s="2" t="n">
        <v>6</v>
      </c>
      <c r="I51" s="4" t="n">
        <v>8</v>
      </c>
      <c r="J51" s="4" t="n">
        <f aca="false">H51*I51*(1-K51)</f>
        <v>40.8</v>
      </c>
      <c r="K51" s="5" t="n">
        <v>0.15</v>
      </c>
      <c r="L51" s="4" t="n">
        <f aca="false">J51*0.35</f>
        <v>14.28</v>
      </c>
    </row>
    <row r="52" customFormat="false" ht="15" hidden="false" customHeight="false" outlineLevel="0" collapsed="false">
      <c r="A52" s="2" t="s">
        <v>91</v>
      </c>
      <c r="B52" s="3" t="n">
        <v>45937</v>
      </c>
      <c r="C52" s="2" t="s">
        <v>27</v>
      </c>
      <c r="D52" s="2" t="s">
        <v>28</v>
      </c>
      <c r="E52" s="2" t="s">
        <v>37</v>
      </c>
      <c r="F52" s="2" t="s">
        <v>40</v>
      </c>
      <c r="G52" s="2" t="s">
        <v>21</v>
      </c>
      <c r="H52" s="2" t="n">
        <v>23</v>
      </c>
      <c r="I52" s="4" t="n">
        <v>220</v>
      </c>
      <c r="J52" s="4" t="n">
        <f aca="false">H52*I52*(1-K52)</f>
        <v>4807</v>
      </c>
      <c r="K52" s="5" t="n">
        <v>0.05</v>
      </c>
      <c r="L52" s="4" t="n">
        <f aca="false">J52*0.35</f>
        <v>1682.45</v>
      </c>
    </row>
    <row r="53" customFormat="false" ht="15" hidden="false" customHeight="false" outlineLevel="0" collapsed="false">
      <c r="A53" s="2" t="s">
        <v>92</v>
      </c>
      <c r="B53" s="3" t="n">
        <v>45679</v>
      </c>
      <c r="C53" s="2" t="s">
        <v>13</v>
      </c>
      <c r="D53" s="2" t="s">
        <v>36</v>
      </c>
      <c r="E53" s="2" t="s">
        <v>19</v>
      </c>
      <c r="F53" s="2" t="s">
        <v>33</v>
      </c>
      <c r="G53" s="2" t="s">
        <v>34</v>
      </c>
      <c r="H53" s="2" t="n">
        <v>14</v>
      </c>
      <c r="I53" s="4" t="n">
        <v>150</v>
      </c>
      <c r="J53" s="4" t="n">
        <f aca="false">H53*I53*(1-K53)</f>
        <v>1995</v>
      </c>
      <c r="K53" s="5" t="n">
        <v>0.05</v>
      </c>
      <c r="L53" s="4" t="n">
        <f aca="false">J53*0.35</f>
        <v>698.25</v>
      </c>
    </row>
    <row r="54" customFormat="false" ht="15" hidden="false" customHeight="false" outlineLevel="0" collapsed="false">
      <c r="A54" s="2" t="s">
        <v>93</v>
      </c>
      <c r="B54" s="3" t="n">
        <v>45999</v>
      </c>
      <c r="C54" s="2" t="s">
        <v>42</v>
      </c>
      <c r="D54" s="2" t="s">
        <v>59</v>
      </c>
      <c r="E54" s="2" t="s">
        <v>37</v>
      </c>
      <c r="F54" s="2" t="s">
        <v>38</v>
      </c>
      <c r="G54" s="2" t="s">
        <v>17</v>
      </c>
      <c r="H54" s="2" t="n">
        <v>7</v>
      </c>
      <c r="I54" s="4" t="n">
        <v>5</v>
      </c>
      <c r="J54" s="4" t="n">
        <f aca="false">H54*I54*(1-K54)</f>
        <v>33.25</v>
      </c>
      <c r="K54" s="5" t="n">
        <v>0.05</v>
      </c>
      <c r="L54" s="4" t="n">
        <f aca="false">J54*0.35</f>
        <v>11.6375</v>
      </c>
    </row>
    <row r="55" customFormat="false" ht="15" hidden="false" customHeight="false" outlineLevel="0" collapsed="false">
      <c r="A55" s="2" t="s">
        <v>94</v>
      </c>
      <c r="B55" s="3" t="n">
        <v>45779</v>
      </c>
      <c r="C55" s="2" t="s">
        <v>13</v>
      </c>
      <c r="D55" s="2" t="s">
        <v>36</v>
      </c>
      <c r="E55" s="2" t="s">
        <v>19</v>
      </c>
      <c r="F55" s="2" t="s">
        <v>20</v>
      </c>
      <c r="G55" s="2" t="s">
        <v>21</v>
      </c>
      <c r="H55" s="2" t="n">
        <v>20</v>
      </c>
      <c r="I55" s="4" t="n">
        <v>90</v>
      </c>
      <c r="J55" s="4" t="n">
        <f aca="false">H55*I55*(1-K55)</f>
        <v>1710</v>
      </c>
      <c r="K55" s="5" t="n">
        <v>0.05</v>
      </c>
      <c r="L55" s="4" t="n">
        <f aca="false">J55*0.35</f>
        <v>598.5</v>
      </c>
    </row>
    <row r="56" customFormat="false" ht="15" hidden="false" customHeight="false" outlineLevel="0" collapsed="false">
      <c r="A56" s="2" t="s">
        <v>95</v>
      </c>
      <c r="B56" s="3" t="n">
        <v>45868</v>
      </c>
      <c r="C56" s="2" t="s">
        <v>23</v>
      </c>
      <c r="D56" s="2" t="s">
        <v>24</v>
      </c>
      <c r="E56" s="2" t="s">
        <v>29</v>
      </c>
      <c r="F56" s="2" t="s">
        <v>25</v>
      </c>
      <c r="G56" s="2" t="s">
        <v>21</v>
      </c>
      <c r="H56" s="2" t="n">
        <v>6</v>
      </c>
      <c r="I56" s="4" t="n">
        <v>750</v>
      </c>
      <c r="J56" s="4" t="n">
        <f aca="false">H56*I56*(1-K56)</f>
        <v>4050</v>
      </c>
      <c r="K56" s="5" t="n">
        <v>0.1</v>
      </c>
      <c r="L56" s="4" t="n">
        <f aca="false">J56*0.35</f>
        <v>1417.5</v>
      </c>
    </row>
    <row r="57" customFormat="false" ht="15" hidden="false" customHeight="false" outlineLevel="0" collapsed="false">
      <c r="A57" s="2" t="s">
        <v>96</v>
      </c>
      <c r="B57" s="3" t="n">
        <v>45898</v>
      </c>
      <c r="C57" s="2" t="s">
        <v>23</v>
      </c>
      <c r="D57" s="2" t="s">
        <v>69</v>
      </c>
      <c r="E57" s="2" t="s">
        <v>53</v>
      </c>
      <c r="F57" s="2" t="s">
        <v>40</v>
      </c>
      <c r="G57" s="2" t="s">
        <v>21</v>
      </c>
      <c r="H57" s="2" t="n">
        <v>13</v>
      </c>
      <c r="I57" s="4" t="n">
        <v>220</v>
      </c>
      <c r="J57" s="4" t="n">
        <f aca="false">H57*I57*(1-K57)</f>
        <v>2860</v>
      </c>
      <c r="K57" s="5" t="n">
        <v>0</v>
      </c>
      <c r="L57" s="4" t="n">
        <f aca="false">J57*0.35</f>
        <v>1001</v>
      </c>
    </row>
    <row r="58" customFormat="false" ht="15" hidden="false" customHeight="false" outlineLevel="0" collapsed="false">
      <c r="A58" s="2" t="s">
        <v>97</v>
      </c>
      <c r="B58" s="3" t="n">
        <v>45772</v>
      </c>
      <c r="C58" s="2" t="s">
        <v>23</v>
      </c>
      <c r="D58" s="2" t="s">
        <v>24</v>
      </c>
      <c r="E58" s="2" t="s">
        <v>29</v>
      </c>
      <c r="F58" s="2" t="s">
        <v>38</v>
      </c>
      <c r="G58" s="2" t="s">
        <v>17</v>
      </c>
      <c r="H58" s="2" t="n">
        <v>10</v>
      </c>
      <c r="I58" s="4" t="n">
        <v>5</v>
      </c>
      <c r="J58" s="4" t="n">
        <f aca="false">H58*I58*(1-K58)</f>
        <v>47.5</v>
      </c>
      <c r="K58" s="5" t="n">
        <v>0.05</v>
      </c>
      <c r="L58" s="4" t="n">
        <f aca="false">J58*0.35</f>
        <v>16.625</v>
      </c>
    </row>
    <row r="59" customFormat="false" ht="15" hidden="false" customHeight="false" outlineLevel="0" collapsed="false">
      <c r="A59" s="2" t="s">
        <v>98</v>
      </c>
      <c r="B59" s="3" t="n">
        <v>45800</v>
      </c>
      <c r="C59" s="2" t="s">
        <v>13</v>
      </c>
      <c r="D59" s="2" t="s">
        <v>14</v>
      </c>
      <c r="E59" s="2" t="s">
        <v>29</v>
      </c>
      <c r="F59" s="2" t="s">
        <v>38</v>
      </c>
      <c r="G59" s="2" t="s">
        <v>17</v>
      </c>
      <c r="H59" s="2" t="n">
        <v>9</v>
      </c>
      <c r="I59" s="4" t="n">
        <v>5</v>
      </c>
      <c r="J59" s="4" t="n">
        <f aca="false">H59*I59*(1-K59)</f>
        <v>45</v>
      </c>
      <c r="K59" s="5" t="n">
        <v>0</v>
      </c>
      <c r="L59" s="4" t="n">
        <f aca="false">J59*0.35</f>
        <v>15.75</v>
      </c>
    </row>
    <row r="60" customFormat="false" ht="15" hidden="false" customHeight="false" outlineLevel="0" collapsed="false">
      <c r="A60" s="2" t="s">
        <v>99</v>
      </c>
      <c r="B60" s="3" t="n">
        <v>45791</v>
      </c>
      <c r="C60" s="2" t="s">
        <v>42</v>
      </c>
      <c r="D60" s="2" t="s">
        <v>59</v>
      </c>
      <c r="E60" s="2" t="s">
        <v>15</v>
      </c>
      <c r="F60" s="2" t="s">
        <v>38</v>
      </c>
      <c r="G60" s="2" t="s">
        <v>17</v>
      </c>
      <c r="H60" s="2" t="n">
        <v>1</v>
      </c>
      <c r="I60" s="4" t="n">
        <v>5</v>
      </c>
      <c r="J60" s="4" t="n">
        <f aca="false">H60*I60*(1-K60)</f>
        <v>5</v>
      </c>
      <c r="K60" s="5" t="n">
        <v>0</v>
      </c>
      <c r="L60" s="4" t="n">
        <f aca="false">J60*0.35</f>
        <v>1.75</v>
      </c>
    </row>
    <row r="61" customFormat="false" ht="15" hidden="false" customHeight="false" outlineLevel="0" collapsed="false">
      <c r="A61" s="2" t="s">
        <v>100</v>
      </c>
      <c r="B61" s="3" t="n">
        <v>45834</v>
      </c>
      <c r="C61" s="2" t="s">
        <v>23</v>
      </c>
      <c r="D61" s="2" t="s">
        <v>69</v>
      </c>
      <c r="E61" s="2" t="s">
        <v>37</v>
      </c>
      <c r="F61" s="2" t="s">
        <v>40</v>
      </c>
      <c r="G61" s="2" t="s">
        <v>21</v>
      </c>
      <c r="H61" s="2" t="n">
        <v>20</v>
      </c>
      <c r="I61" s="4" t="n">
        <v>220</v>
      </c>
      <c r="J61" s="4" t="n">
        <f aca="false">H61*I61*(1-K61)</f>
        <v>3740</v>
      </c>
      <c r="K61" s="5" t="n">
        <v>0.15</v>
      </c>
      <c r="L61" s="4" t="n">
        <f aca="false">J61*0.35</f>
        <v>1309</v>
      </c>
    </row>
    <row r="62" customFormat="false" ht="15" hidden="false" customHeight="false" outlineLevel="0" collapsed="false">
      <c r="A62" s="2" t="s">
        <v>101</v>
      </c>
      <c r="B62" s="3" t="n">
        <v>45788</v>
      </c>
      <c r="C62" s="2" t="s">
        <v>42</v>
      </c>
      <c r="D62" s="2" t="s">
        <v>59</v>
      </c>
      <c r="E62" s="2" t="s">
        <v>19</v>
      </c>
      <c r="F62" s="2" t="s">
        <v>40</v>
      </c>
      <c r="G62" s="2" t="s">
        <v>21</v>
      </c>
      <c r="H62" s="2" t="n">
        <v>13</v>
      </c>
      <c r="I62" s="4" t="n">
        <v>220</v>
      </c>
      <c r="J62" s="4" t="n">
        <f aca="false">H62*I62*(1-K62)</f>
        <v>2717</v>
      </c>
      <c r="K62" s="5" t="n">
        <v>0.05</v>
      </c>
      <c r="L62" s="4" t="n">
        <f aca="false">J62*0.35</f>
        <v>950.95</v>
      </c>
    </row>
    <row r="63" customFormat="false" ht="15" hidden="false" customHeight="false" outlineLevel="0" collapsed="false">
      <c r="A63" s="2" t="s">
        <v>102</v>
      </c>
      <c r="B63" s="3" t="n">
        <v>45693</v>
      </c>
      <c r="C63" s="2" t="s">
        <v>13</v>
      </c>
      <c r="D63" s="2" t="s">
        <v>36</v>
      </c>
      <c r="E63" s="2" t="s">
        <v>37</v>
      </c>
      <c r="F63" s="2" t="s">
        <v>47</v>
      </c>
      <c r="G63" s="2" t="s">
        <v>34</v>
      </c>
      <c r="H63" s="2" t="n">
        <v>12</v>
      </c>
      <c r="I63" s="4" t="n">
        <v>400</v>
      </c>
      <c r="J63" s="4" t="n">
        <f aca="false">H63*I63*(1-K63)</f>
        <v>4080</v>
      </c>
      <c r="K63" s="5" t="n">
        <v>0.15</v>
      </c>
      <c r="L63" s="4" t="n">
        <f aca="false">J63*0.35</f>
        <v>1428</v>
      </c>
    </row>
    <row r="64" customFormat="false" ht="15" hidden="false" customHeight="false" outlineLevel="0" collapsed="false">
      <c r="A64" s="2" t="s">
        <v>103</v>
      </c>
      <c r="B64" s="3" t="n">
        <v>45917</v>
      </c>
      <c r="C64" s="2" t="s">
        <v>42</v>
      </c>
      <c r="D64" s="2" t="s">
        <v>59</v>
      </c>
      <c r="E64" s="2" t="s">
        <v>15</v>
      </c>
      <c r="F64" s="2" t="s">
        <v>40</v>
      </c>
      <c r="G64" s="2" t="s">
        <v>21</v>
      </c>
      <c r="H64" s="2" t="n">
        <v>24</v>
      </c>
      <c r="I64" s="4" t="n">
        <v>220</v>
      </c>
      <c r="J64" s="4" t="n">
        <f aca="false">H64*I64*(1-K64)</f>
        <v>4752</v>
      </c>
      <c r="K64" s="5" t="n">
        <v>0.1</v>
      </c>
      <c r="L64" s="4" t="n">
        <f aca="false">J64*0.35</f>
        <v>1663.2</v>
      </c>
    </row>
    <row r="65" customFormat="false" ht="15" hidden="false" customHeight="false" outlineLevel="0" collapsed="false">
      <c r="A65" s="2" t="s">
        <v>104</v>
      </c>
      <c r="B65" s="3" t="n">
        <v>45941</v>
      </c>
      <c r="C65" s="2" t="s">
        <v>42</v>
      </c>
      <c r="D65" s="2" t="s">
        <v>59</v>
      </c>
      <c r="E65" s="2" t="s">
        <v>32</v>
      </c>
      <c r="F65" s="2" t="s">
        <v>20</v>
      </c>
      <c r="G65" s="2" t="s">
        <v>21</v>
      </c>
      <c r="H65" s="2" t="n">
        <v>23</v>
      </c>
      <c r="I65" s="4" t="n">
        <v>90</v>
      </c>
      <c r="J65" s="4" t="n">
        <f aca="false">H65*I65*(1-K65)</f>
        <v>1863</v>
      </c>
      <c r="K65" s="5" t="n">
        <v>0.1</v>
      </c>
      <c r="L65" s="4" t="n">
        <f aca="false">J65*0.35</f>
        <v>652.05</v>
      </c>
    </row>
    <row r="66" customFormat="false" ht="15" hidden="false" customHeight="false" outlineLevel="0" collapsed="false">
      <c r="A66" s="2" t="s">
        <v>105</v>
      </c>
      <c r="B66" s="3" t="n">
        <v>45973</v>
      </c>
      <c r="C66" s="2" t="s">
        <v>23</v>
      </c>
      <c r="D66" s="2" t="s">
        <v>24</v>
      </c>
      <c r="E66" s="2" t="s">
        <v>29</v>
      </c>
      <c r="F66" s="2" t="s">
        <v>20</v>
      </c>
      <c r="G66" s="2" t="s">
        <v>21</v>
      </c>
      <c r="H66" s="2" t="n">
        <v>22</v>
      </c>
      <c r="I66" s="4" t="n">
        <v>90</v>
      </c>
      <c r="J66" s="4" t="n">
        <f aca="false">H66*I66*(1-K66)</f>
        <v>1881</v>
      </c>
      <c r="K66" s="5" t="n">
        <v>0.05</v>
      </c>
      <c r="L66" s="4" t="n">
        <f aca="false">J66*0.35</f>
        <v>658.35</v>
      </c>
    </row>
    <row r="67" customFormat="false" ht="15" hidden="false" customHeight="false" outlineLevel="0" collapsed="false">
      <c r="A67" s="2" t="s">
        <v>106</v>
      </c>
      <c r="B67" s="3" t="n">
        <v>45765</v>
      </c>
      <c r="C67" s="2" t="s">
        <v>42</v>
      </c>
      <c r="D67" s="2" t="s">
        <v>59</v>
      </c>
      <c r="E67" s="2" t="s">
        <v>19</v>
      </c>
      <c r="F67" s="2" t="s">
        <v>25</v>
      </c>
      <c r="G67" s="2" t="s">
        <v>21</v>
      </c>
      <c r="H67" s="2" t="n">
        <v>10</v>
      </c>
      <c r="I67" s="4" t="n">
        <v>750</v>
      </c>
      <c r="J67" s="4" t="n">
        <f aca="false">H67*I67*(1-K67)</f>
        <v>6750</v>
      </c>
      <c r="K67" s="5" t="n">
        <v>0.1</v>
      </c>
      <c r="L67" s="4" t="n">
        <f aca="false">J67*0.35</f>
        <v>2362.5</v>
      </c>
    </row>
    <row r="68" customFormat="false" ht="15" hidden="false" customHeight="false" outlineLevel="0" collapsed="false">
      <c r="A68" s="2" t="s">
        <v>107</v>
      </c>
      <c r="B68" s="3" t="n">
        <v>45919</v>
      </c>
      <c r="C68" s="2" t="s">
        <v>27</v>
      </c>
      <c r="D68" s="2" t="s">
        <v>31</v>
      </c>
      <c r="E68" s="2" t="s">
        <v>29</v>
      </c>
      <c r="F68" s="2" t="s">
        <v>51</v>
      </c>
      <c r="G68" s="2" t="s">
        <v>34</v>
      </c>
      <c r="H68" s="2" t="n">
        <v>15</v>
      </c>
      <c r="I68" s="4" t="n">
        <v>130</v>
      </c>
      <c r="J68" s="4" t="n">
        <f aca="false">H68*I68*(1-K68)</f>
        <v>1852.5</v>
      </c>
      <c r="K68" s="5" t="n">
        <v>0.05</v>
      </c>
      <c r="L68" s="4" t="n">
        <f aca="false">J68*0.35</f>
        <v>648.375</v>
      </c>
    </row>
    <row r="69" customFormat="false" ht="15" hidden="false" customHeight="false" outlineLevel="0" collapsed="false">
      <c r="A69" s="2" t="s">
        <v>108</v>
      </c>
      <c r="B69" s="3" t="n">
        <v>45705</v>
      </c>
      <c r="C69" s="2" t="s">
        <v>27</v>
      </c>
      <c r="D69" s="2" t="s">
        <v>28</v>
      </c>
      <c r="E69" s="2" t="s">
        <v>15</v>
      </c>
      <c r="F69" s="2" t="s">
        <v>40</v>
      </c>
      <c r="G69" s="2" t="s">
        <v>21</v>
      </c>
      <c r="H69" s="2" t="n">
        <v>10</v>
      </c>
      <c r="I69" s="4" t="n">
        <v>220</v>
      </c>
      <c r="J69" s="4" t="n">
        <f aca="false">H69*I69*(1-K69)</f>
        <v>1980</v>
      </c>
      <c r="K69" s="5" t="n">
        <v>0.1</v>
      </c>
      <c r="L69" s="4" t="n">
        <f aca="false">J69*0.35</f>
        <v>693</v>
      </c>
    </row>
    <row r="70" customFormat="false" ht="15" hidden="false" customHeight="false" outlineLevel="0" collapsed="false">
      <c r="A70" s="2" t="s">
        <v>109</v>
      </c>
      <c r="B70" s="3" t="n">
        <v>45681</v>
      </c>
      <c r="C70" s="2" t="s">
        <v>23</v>
      </c>
      <c r="D70" s="2" t="s">
        <v>69</v>
      </c>
      <c r="E70" s="2" t="s">
        <v>53</v>
      </c>
      <c r="F70" s="2" t="s">
        <v>47</v>
      </c>
      <c r="G70" s="2" t="s">
        <v>34</v>
      </c>
      <c r="H70" s="2" t="n">
        <v>5</v>
      </c>
      <c r="I70" s="4" t="n">
        <v>400</v>
      </c>
      <c r="J70" s="4" t="n">
        <f aca="false">H70*I70*(1-K70)</f>
        <v>2000</v>
      </c>
      <c r="K70" s="5" t="n">
        <v>0</v>
      </c>
      <c r="L70" s="4" t="n">
        <f aca="false">J70*0.35</f>
        <v>700</v>
      </c>
    </row>
    <row r="71" customFormat="false" ht="15" hidden="false" customHeight="false" outlineLevel="0" collapsed="false">
      <c r="A71" s="2" t="s">
        <v>110</v>
      </c>
      <c r="B71" s="3" t="n">
        <v>45980</v>
      </c>
      <c r="C71" s="2" t="s">
        <v>23</v>
      </c>
      <c r="D71" s="2" t="s">
        <v>69</v>
      </c>
      <c r="E71" s="2" t="s">
        <v>19</v>
      </c>
      <c r="F71" s="2" t="s">
        <v>40</v>
      </c>
      <c r="G71" s="2" t="s">
        <v>21</v>
      </c>
      <c r="H71" s="2" t="n">
        <v>15</v>
      </c>
      <c r="I71" s="4" t="n">
        <v>220</v>
      </c>
      <c r="J71" s="4" t="n">
        <f aca="false">H71*I71*(1-K71)</f>
        <v>2805</v>
      </c>
      <c r="K71" s="5" t="n">
        <v>0.15</v>
      </c>
      <c r="L71" s="4" t="n">
        <f aca="false">J71*0.35</f>
        <v>981.75</v>
      </c>
    </row>
    <row r="72" customFormat="false" ht="15" hidden="false" customHeight="false" outlineLevel="0" collapsed="false">
      <c r="A72" s="2" t="s">
        <v>111</v>
      </c>
      <c r="B72" s="3" t="n">
        <v>45993</v>
      </c>
      <c r="C72" s="2" t="s">
        <v>23</v>
      </c>
      <c r="D72" s="2" t="s">
        <v>69</v>
      </c>
      <c r="E72" s="2" t="s">
        <v>29</v>
      </c>
      <c r="F72" s="2" t="s">
        <v>20</v>
      </c>
      <c r="G72" s="2" t="s">
        <v>21</v>
      </c>
      <c r="H72" s="2" t="n">
        <v>8</v>
      </c>
      <c r="I72" s="4" t="n">
        <v>90</v>
      </c>
      <c r="J72" s="4" t="n">
        <f aca="false">H72*I72*(1-K72)</f>
        <v>684</v>
      </c>
      <c r="K72" s="5" t="n">
        <v>0.05</v>
      </c>
      <c r="L72" s="4" t="n">
        <f aca="false">J72*0.35</f>
        <v>239.4</v>
      </c>
    </row>
    <row r="73" customFormat="false" ht="15" hidden="false" customHeight="false" outlineLevel="0" collapsed="false">
      <c r="A73" s="2" t="s">
        <v>112</v>
      </c>
      <c r="B73" s="3" t="n">
        <v>45683</v>
      </c>
      <c r="C73" s="2" t="s">
        <v>13</v>
      </c>
      <c r="D73" s="2" t="s">
        <v>14</v>
      </c>
      <c r="E73" s="2" t="s">
        <v>29</v>
      </c>
      <c r="F73" s="2" t="s">
        <v>47</v>
      </c>
      <c r="G73" s="2" t="s">
        <v>34</v>
      </c>
      <c r="H73" s="2" t="n">
        <v>6</v>
      </c>
      <c r="I73" s="4" t="n">
        <v>400</v>
      </c>
      <c r="J73" s="4" t="n">
        <f aca="false">H73*I73*(1-K73)</f>
        <v>2040</v>
      </c>
      <c r="K73" s="5" t="n">
        <v>0.15</v>
      </c>
      <c r="L73" s="4" t="n">
        <f aca="false">J73*0.35</f>
        <v>714</v>
      </c>
    </row>
    <row r="74" customFormat="false" ht="15" hidden="false" customHeight="false" outlineLevel="0" collapsed="false">
      <c r="A74" s="2" t="s">
        <v>113</v>
      </c>
      <c r="B74" s="3" t="n">
        <v>45884</v>
      </c>
      <c r="C74" s="2" t="s">
        <v>23</v>
      </c>
      <c r="D74" s="2" t="s">
        <v>24</v>
      </c>
      <c r="E74" s="2" t="s">
        <v>29</v>
      </c>
      <c r="F74" s="2" t="s">
        <v>33</v>
      </c>
      <c r="G74" s="2" t="s">
        <v>34</v>
      </c>
      <c r="H74" s="2" t="n">
        <v>15</v>
      </c>
      <c r="I74" s="4" t="n">
        <v>150</v>
      </c>
      <c r="J74" s="4" t="n">
        <f aca="false">H74*I74*(1-K74)</f>
        <v>2025</v>
      </c>
      <c r="K74" s="5" t="n">
        <v>0.1</v>
      </c>
      <c r="L74" s="4" t="n">
        <f aca="false">J74*0.35</f>
        <v>708.75</v>
      </c>
    </row>
    <row r="75" customFormat="false" ht="15" hidden="false" customHeight="false" outlineLevel="0" collapsed="false">
      <c r="A75" s="2" t="s">
        <v>114</v>
      </c>
      <c r="B75" s="3" t="n">
        <v>45784</v>
      </c>
      <c r="C75" s="2" t="s">
        <v>27</v>
      </c>
      <c r="D75" s="2" t="s">
        <v>31</v>
      </c>
      <c r="E75" s="2" t="s">
        <v>53</v>
      </c>
      <c r="F75" s="2" t="s">
        <v>51</v>
      </c>
      <c r="G75" s="2" t="s">
        <v>34</v>
      </c>
      <c r="H75" s="2" t="n">
        <v>15</v>
      </c>
      <c r="I75" s="4" t="n">
        <v>130</v>
      </c>
      <c r="J75" s="4" t="n">
        <f aca="false">H75*I75*(1-K75)</f>
        <v>1755</v>
      </c>
      <c r="K75" s="5" t="n">
        <v>0.1</v>
      </c>
      <c r="L75" s="4" t="n">
        <f aca="false">J75*0.35</f>
        <v>614.25</v>
      </c>
    </row>
    <row r="76" customFormat="false" ht="15" hidden="false" customHeight="false" outlineLevel="0" collapsed="false">
      <c r="A76" s="2" t="s">
        <v>115</v>
      </c>
      <c r="B76" s="3" t="n">
        <v>45697</v>
      </c>
      <c r="C76" s="2" t="s">
        <v>42</v>
      </c>
      <c r="D76" s="2" t="s">
        <v>59</v>
      </c>
      <c r="E76" s="2" t="s">
        <v>15</v>
      </c>
      <c r="F76" s="2" t="s">
        <v>47</v>
      </c>
      <c r="G76" s="2" t="s">
        <v>34</v>
      </c>
      <c r="H76" s="2" t="n">
        <v>9</v>
      </c>
      <c r="I76" s="4" t="n">
        <v>400</v>
      </c>
      <c r="J76" s="4" t="n">
        <f aca="false">H76*I76*(1-K76)</f>
        <v>3060</v>
      </c>
      <c r="K76" s="5" t="n">
        <v>0.15</v>
      </c>
      <c r="L76" s="4" t="n">
        <f aca="false">J76*0.35</f>
        <v>1071</v>
      </c>
    </row>
    <row r="77" customFormat="false" ht="15" hidden="false" customHeight="false" outlineLevel="0" collapsed="false">
      <c r="A77" s="2" t="s">
        <v>116</v>
      </c>
      <c r="B77" s="3" t="n">
        <v>45728</v>
      </c>
      <c r="C77" s="2" t="s">
        <v>42</v>
      </c>
      <c r="D77" s="2" t="s">
        <v>43</v>
      </c>
      <c r="E77" s="2" t="s">
        <v>32</v>
      </c>
      <c r="F77" s="2" t="s">
        <v>38</v>
      </c>
      <c r="G77" s="2" t="s">
        <v>17</v>
      </c>
      <c r="H77" s="2" t="n">
        <v>11</v>
      </c>
      <c r="I77" s="4" t="n">
        <v>5</v>
      </c>
      <c r="J77" s="4" t="n">
        <f aca="false">H77*I77*(1-K77)</f>
        <v>55</v>
      </c>
      <c r="K77" s="5" t="n">
        <v>0</v>
      </c>
      <c r="L77" s="4" t="n">
        <f aca="false">J77*0.35</f>
        <v>19.25</v>
      </c>
    </row>
    <row r="78" customFormat="false" ht="15" hidden="false" customHeight="false" outlineLevel="0" collapsed="false">
      <c r="A78" s="2" t="s">
        <v>117</v>
      </c>
      <c r="B78" s="3" t="n">
        <v>45690</v>
      </c>
      <c r="C78" s="2" t="s">
        <v>23</v>
      </c>
      <c r="D78" s="2" t="s">
        <v>24</v>
      </c>
      <c r="E78" s="2" t="s">
        <v>29</v>
      </c>
      <c r="F78" s="2" t="s">
        <v>33</v>
      </c>
      <c r="G78" s="2" t="s">
        <v>34</v>
      </c>
      <c r="H78" s="2" t="n">
        <v>23</v>
      </c>
      <c r="I78" s="4" t="n">
        <v>150</v>
      </c>
      <c r="J78" s="4" t="n">
        <f aca="false">H78*I78*(1-K78)</f>
        <v>3277.5</v>
      </c>
      <c r="K78" s="5" t="n">
        <v>0.05</v>
      </c>
      <c r="L78" s="4" t="n">
        <f aca="false">J78*0.35</f>
        <v>1147.125</v>
      </c>
    </row>
    <row r="79" customFormat="false" ht="15" hidden="false" customHeight="false" outlineLevel="0" collapsed="false">
      <c r="A79" s="2" t="s">
        <v>118</v>
      </c>
      <c r="B79" s="3" t="n">
        <v>45763</v>
      </c>
      <c r="C79" s="2" t="s">
        <v>27</v>
      </c>
      <c r="D79" s="2" t="s">
        <v>31</v>
      </c>
      <c r="E79" s="2" t="s">
        <v>32</v>
      </c>
      <c r="F79" s="2" t="s">
        <v>51</v>
      </c>
      <c r="G79" s="2" t="s">
        <v>34</v>
      </c>
      <c r="H79" s="2" t="n">
        <v>14</v>
      </c>
      <c r="I79" s="4" t="n">
        <v>130</v>
      </c>
      <c r="J79" s="4" t="n">
        <f aca="false">H79*I79*(1-K79)</f>
        <v>1820</v>
      </c>
      <c r="K79" s="5" t="n">
        <v>0</v>
      </c>
      <c r="L79" s="4" t="n">
        <f aca="false">J79*0.35</f>
        <v>637</v>
      </c>
    </row>
    <row r="80" customFormat="false" ht="15" hidden="false" customHeight="false" outlineLevel="0" collapsed="false">
      <c r="A80" s="2" t="s">
        <v>119</v>
      </c>
      <c r="B80" s="3" t="n">
        <v>45902</v>
      </c>
      <c r="C80" s="2" t="s">
        <v>27</v>
      </c>
      <c r="D80" s="2" t="s">
        <v>31</v>
      </c>
      <c r="E80" s="2" t="s">
        <v>19</v>
      </c>
      <c r="F80" s="2" t="s">
        <v>25</v>
      </c>
      <c r="G80" s="2" t="s">
        <v>21</v>
      </c>
      <c r="H80" s="2" t="n">
        <v>25</v>
      </c>
      <c r="I80" s="4" t="n">
        <v>750</v>
      </c>
      <c r="J80" s="4" t="n">
        <f aca="false">H80*I80*(1-K80)</f>
        <v>15937.5</v>
      </c>
      <c r="K80" s="5" t="n">
        <v>0.15</v>
      </c>
      <c r="L80" s="4" t="n">
        <f aca="false">J80*0.35</f>
        <v>5578.125</v>
      </c>
    </row>
    <row r="81" customFormat="false" ht="15" hidden="false" customHeight="false" outlineLevel="0" collapsed="false">
      <c r="A81" s="2" t="s">
        <v>120</v>
      </c>
      <c r="B81" s="3" t="n">
        <v>45907</v>
      </c>
      <c r="C81" s="2" t="s">
        <v>13</v>
      </c>
      <c r="D81" s="2" t="s">
        <v>36</v>
      </c>
      <c r="E81" s="2" t="s">
        <v>32</v>
      </c>
      <c r="F81" s="2" t="s">
        <v>20</v>
      </c>
      <c r="G81" s="2" t="s">
        <v>21</v>
      </c>
      <c r="H81" s="2" t="n">
        <v>14</v>
      </c>
      <c r="I81" s="4" t="n">
        <v>90</v>
      </c>
      <c r="J81" s="4" t="n">
        <f aca="false">H81*I81*(1-K81)</f>
        <v>1197</v>
      </c>
      <c r="K81" s="5" t="n">
        <v>0.05</v>
      </c>
      <c r="L81" s="4" t="n">
        <f aca="false">J81*0.35</f>
        <v>418.95</v>
      </c>
    </row>
    <row r="82" customFormat="false" ht="15" hidden="false" customHeight="false" outlineLevel="0" collapsed="false">
      <c r="A82" s="2" t="s">
        <v>121</v>
      </c>
      <c r="B82" s="3" t="n">
        <v>45830</v>
      </c>
      <c r="C82" s="2" t="s">
        <v>23</v>
      </c>
      <c r="D82" s="2" t="s">
        <v>69</v>
      </c>
      <c r="E82" s="2" t="s">
        <v>29</v>
      </c>
      <c r="F82" s="2" t="s">
        <v>51</v>
      </c>
      <c r="G82" s="2" t="s">
        <v>34</v>
      </c>
      <c r="H82" s="2" t="n">
        <v>1</v>
      </c>
      <c r="I82" s="4" t="n">
        <v>130</v>
      </c>
      <c r="J82" s="4" t="n">
        <f aca="false">H82*I82*(1-K82)</f>
        <v>110.5</v>
      </c>
      <c r="K82" s="5" t="n">
        <v>0.15</v>
      </c>
      <c r="L82" s="4" t="n">
        <f aca="false">J82*0.35</f>
        <v>38.675</v>
      </c>
    </row>
    <row r="83" customFormat="false" ht="15" hidden="false" customHeight="false" outlineLevel="0" collapsed="false">
      <c r="A83" s="2" t="s">
        <v>122</v>
      </c>
      <c r="B83" s="3" t="n">
        <v>45859</v>
      </c>
      <c r="C83" s="2" t="s">
        <v>27</v>
      </c>
      <c r="D83" s="2" t="s">
        <v>28</v>
      </c>
      <c r="E83" s="2" t="s">
        <v>29</v>
      </c>
      <c r="F83" s="2" t="s">
        <v>33</v>
      </c>
      <c r="G83" s="2" t="s">
        <v>34</v>
      </c>
      <c r="H83" s="2" t="n">
        <v>20</v>
      </c>
      <c r="I83" s="4" t="n">
        <v>150</v>
      </c>
      <c r="J83" s="4" t="n">
        <f aca="false">H83*I83*(1-K83)</f>
        <v>3000</v>
      </c>
      <c r="K83" s="5" t="n">
        <v>0</v>
      </c>
      <c r="L83" s="4" t="n">
        <f aca="false">J83*0.35</f>
        <v>1050</v>
      </c>
    </row>
    <row r="84" customFormat="false" ht="15" hidden="false" customHeight="false" outlineLevel="0" collapsed="false">
      <c r="A84" s="2" t="s">
        <v>123</v>
      </c>
      <c r="B84" s="3" t="n">
        <v>45751</v>
      </c>
      <c r="C84" s="2" t="s">
        <v>13</v>
      </c>
      <c r="D84" s="2" t="s">
        <v>14</v>
      </c>
      <c r="E84" s="2" t="s">
        <v>15</v>
      </c>
      <c r="F84" s="2" t="s">
        <v>20</v>
      </c>
      <c r="G84" s="2" t="s">
        <v>21</v>
      </c>
      <c r="H84" s="2" t="n">
        <v>5</v>
      </c>
      <c r="I84" s="4" t="n">
        <v>90</v>
      </c>
      <c r="J84" s="4" t="n">
        <f aca="false">H84*I84*(1-K84)</f>
        <v>382.5</v>
      </c>
      <c r="K84" s="5" t="n">
        <v>0.15</v>
      </c>
      <c r="L84" s="4" t="n">
        <f aca="false">J84*0.35</f>
        <v>133.875</v>
      </c>
    </row>
    <row r="85" customFormat="false" ht="15" hidden="false" customHeight="false" outlineLevel="0" collapsed="false">
      <c r="A85" s="2" t="s">
        <v>124</v>
      </c>
      <c r="B85" s="3" t="n">
        <v>45825</v>
      </c>
      <c r="C85" s="2" t="s">
        <v>13</v>
      </c>
      <c r="D85" s="2" t="s">
        <v>36</v>
      </c>
      <c r="E85" s="2" t="s">
        <v>29</v>
      </c>
      <c r="F85" s="2" t="s">
        <v>38</v>
      </c>
      <c r="G85" s="2" t="s">
        <v>17</v>
      </c>
      <c r="H85" s="2" t="n">
        <v>7</v>
      </c>
      <c r="I85" s="4" t="n">
        <v>5</v>
      </c>
      <c r="J85" s="4" t="n">
        <f aca="false">H85*I85*(1-K85)</f>
        <v>29.75</v>
      </c>
      <c r="K85" s="5" t="n">
        <v>0.15</v>
      </c>
      <c r="L85" s="4" t="n">
        <f aca="false">J85*0.35</f>
        <v>10.4125</v>
      </c>
    </row>
    <row r="86" customFormat="false" ht="15" hidden="false" customHeight="false" outlineLevel="0" collapsed="false">
      <c r="A86" s="2" t="s">
        <v>125</v>
      </c>
      <c r="B86" s="3" t="n">
        <v>45898</v>
      </c>
      <c r="C86" s="2" t="s">
        <v>42</v>
      </c>
      <c r="D86" s="2" t="s">
        <v>59</v>
      </c>
      <c r="E86" s="2" t="s">
        <v>32</v>
      </c>
      <c r="F86" s="2" t="s">
        <v>20</v>
      </c>
      <c r="G86" s="2" t="s">
        <v>21</v>
      </c>
      <c r="H86" s="2" t="n">
        <v>9</v>
      </c>
      <c r="I86" s="4" t="n">
        <v>90</v>
      </c>
      <c r="J86" s="4" t="n">
        <f aca="false">H86*I86*(1-K86)</f>
        <v>810</v>
      </c>
      <c r="K86" s="5" t="n">
        <v>0</v>
      </c>
      <c r="L86" s="4" t="n">
        <f aca="false">J86*0.35</f>
        <v>283.5</v>
      </c>
    </row>
    <row r="87" customFormat="false" ht="15" hidden="false" customHeight="false" outlineLevel="0" collapsed="false">
      <c r="A87" s="2" t="s">
        <v>126</v>
      </c>
      <c r="B87" s="3" t="n">
        <v>45991</v>
      </c>
      <c r="C87" s="2" t="s">
        <v>13</v>
      </c>
      <c r="D87" s="2" t="s">
        <v>14</v>
      </c>
      <c r="E87" s="2" t="s">
        <v>32</v>
      </c>
      <c r="F87" s="2" t="s">
        <v>47</v>
      </c>
      <c r="G87" s="2" t="s">
        <v>34</v>
      </c>
      <c r="H87" s="2" t="n">
        <v>21</v>
      </c>
      <c r="I87" s="4" t="n">
        <v>400</v>
      </c>
      <c r="J87" s="4" t="n">
        <f aca="false">H87*I87*(1-K87)</f>
        <v>8400</v>
      </c>
      <c r="K87" s="5" t="n">
        <v>0</v>
      </c>
      <c r="L87" s="4" t="n">
        <f aca="false">J87*0.35</f>
        <v>2940</v>
      </c>
    </row>
    <row r="88" customFormat="false" ht="15" hidden="false" customHeight="false" outlineLevel="0" collapsed="false">
      <c r="A88" s="2" t="s">
        <v>127</v>
      </c>
      <c r="B88" s="3" t="n">
        <v>45780</v>
      </c>
      <c r="C88" s="2" t="s">
        <v>13</v>
      </c>
      <c r="D88" s="2" t="s">
        <v>14</v>
      </c>
      <c r="E88" s="2" t="s">
        <v>53</v>
      </c>
      <c r="F88" s="2" t="s">
        <v>47</v>
      </c>
      <c r="G88" s="2" t="s">
        <v>34</v>
      </c>
      <c r="H88" s="2" t="n">
        <v>1</v>
      </c>
      <c r="I88" s="4" t="n">
        <v>400</v>
      </c>
      <c r="J88" s="4" t="n">
        <f aca="false">H88*I88*(1-K88)</f>
        <v>380</v>
      </c>
      <c r="K88" s="5" t="n">
        <v>0.05</v>
      </c>
      <c r="L88" s="4" t="n">
        <f aca="false">J88*0.35</f>
        <v>133</v>
      </c>
    </row>
    <row r="89" customFormat="false" ht="15" hidden="false" customHeight="false" outlineLevel="0" collapsed="false">
      <c r="A89" s="2" t="s">
        <v>128</v>
      </c>
      <c r="B89" s="3" t="n">
        <v>45896</v>
      </c>
      <c r="C89" s="2" t="s">
        <v>23</v>
      </c>
      <c r="D89" s="2" t="s">
        <v>69</v>
      </c>
      <c r="E89" s="2" t="s">
        <v>15</v>
      </c>
      <c r="F89" s="2" t="s">
        <v>40</v>
      </c>
      <c r="G89" s="2" t="s">
        <v>21</v>
      </c>
      <c r="H89" s="2" t="n">
        <v>19</v>
      </c>
      <c r="I89" s="4" t="n">
        <v>220</v>
      </c>
      <c r="J89" s="4" t="n">
        <f aca="false">H89*I89*(1-K89)</f>
        <v>3971</v>
      </c>
      <c r="K89" s="5" t="n">
        <v>0.05</v>
      </c>
      <c r="L89" s="4" t="n">
        <f aca="false">J89*0.35</f>
        <v>1389.85</v>
      </c>
    </row>
    <row r="90" customFormat="false" ht="15" hidden="false" customHeight="false" outlineLevel="0" collapsed="false">
      <c r="A90" s="2" t="s">
        <v>129</v>
      </c>
      <c r="B90" s="3" t="n">
        <v>45817</v>
      </c>
      <c r="C90" s="2" t="s">
        <v>42</v>
      </c>
      <c r="D90" s="2" t="s">
        <v>59</v>
      </c>
      <c r="E90" s="2" t="s">
        <v>53</v>
      </c>
      <c r="F90" s="2" t="s">
        <v>40</v>
      </c>
      <c r="G90" s="2" t="s">
        <v>21</v>
      </c>
      <c r="H90" s="2" t="n">
        <v>25</v>
      </c>
      <c r="I90" s="4" t="n">
        <v>220</v>
      </c>
      <c r="J90" s="4" t="n">
        <f aca="false">H90*I90*(1-K90)</f>
        <v>5225</v>
      </c>
      <c r="K90" s="5" t="n">
        <v>0.05</v>
      </c>
      <c r="L90" s="4" t="n">
        <f aca="false">J90*0.35</f>
        <v>1828.75</v>
      </c>
    </row>
    <row r="91" customFormat="false" ht="15" hidden="false" customHeight="false" outlineLevel="0" collapsed="false">
      <c r="A91" s="2" t="s">
        <v>130</v>
      </c>
      <c r="B91" s="3" t="n">
        <v>45696</v>
      </c>
      <c r="C91" s="2" t="s">
        <v>13</v>
      </c>
      <c r="D91" s="2" t="s">
        <v>14</v>
      </c>
      <c r="E91" s="2" t="s">
        <v>32</v>
      </c>
      <c r="F91" s="2" t="s">
        <v>20</v>
      </c>
      <c r="G91" s="2" t="s">
        <v>21</v>
      </c>
      <c r="H91" s="2" t="n">
        <v>13</v>
      </c>
      <c r="I91" s="4" t="n">
        <v>90</v>
      </c>
      <c r="J91" s="4" t="n">
        <f aca="false">H91*I91*(1-K91)</f>
        <v>1111.5</v>
      </c>
      <c r="K91" s="5" t="n">
        <v>0.05</v>
      </c>
      <c r="L91" s="4" t="n">
        <f aca="false">J91*0.35</f>
        <v>389.025</v>
      </c>
    </row>
    <row r="92" customFormat="false" ht="15" hidden="false" customHeight="false" outlineLevel="0" collapsed="false">
      <c r="A92" s="2" t="s">
        <v>131</v>
      </c>
      <c r="B92" s="3" t="n">
        <v>45947</v>
      </c>
      <c r="C92" s="2" t="s">
        <v>23</v>
      </c>
      <c r="D92" s="2" t="s">
        <v>24</v>
      </c>
      <c r="E92" s="2" t="s">
        <v>15</v>
      </c>
      <c r="F92" s="2" t="s">
        <v>16</v>
      </c>
      <c r="G92" s="2" t="s">
        <v>17</v>
      </c>
      <c r="H92" s="2" t="n">
        <v>22</v>
      </c>
      <c r="I92" s="4" t="n">
        <v>8</v>
      </c>
      <c r="J92" s="4" t="n">
        <f aca="false">H92*I92*(1-K92)</f>
        <v>176</v>
      </c>
      <c r="K92" s="5" t="n">
        <v>0</v>
      </c>
      <c r="L92" s="4" t="n">
        <f aca="false">J92*0.35</f>
        <v>61.6</v>
      </c>
    </row>
    <row r="93" customFormat="false" ht="15" hidden="false" customHeight="false" outlineLevel="0" collapsed="false">
      <c r="A93" s="2" t="s">
        <v>132</v>
      </c>
      <c r="B93" s="3" t="n">
        <v>45693</v>
      </c>
      <c r="C93" s="2" t="s">
        <v>13</v>
      </c>
      <c r="D93" s="2" t="s">
        <v>36</v>
      </c>
      <c r="E93" s="2" t="s">
        <v>19</v>
      </c>
      <c r="F93" s="2" t="s">
        <v>20</v>
      </c>
      <c r="G93" s="2" t="s">
        <v>21</v>
      </c>
      <c r="H93" s="2" t="n">
        <v>22</v>
      </c>
      <c r="I93" s="4" t="n">
        <v>90</v>
      </c>
      <c r="J93" s="4" t="n">
        <f aca="false">H93*I93*(1-K93)</f>
        <v>1782</v>
      </c>
      <c r="K93" s="5" t="n">
        <v>0.1</v>
      </c>
      <c r="L93" s="4" t="n">
        <f aca="false">J93*0.35</f>
        <v>623.7</v>
      </c>
    </row>
    <row r="94" customFormat="false" ht="15" hidden="false" customHeight="false" outlineLevel="0" collapsed="false">
      <c r="A94" s="2" t="s">
        <v>133</v>
      </c>
      <c r="B94" s="3" t="n">
        <v>45843</v>
      </c>
      <c r="C94" s="2" t="s">
        <v>42</v>
      </c>
      <c r="D94" s="2" t="s">
        <v>43</v>
      </c>
      <c r="E94" s="2" t="s">
        <v>29</v>
      </c>
      <c r="F94" s="2" t="s">
        <v>51</v>
      </c>
      <c r="G94" s="2" t="s">
        <v>34</v>
      </c>
      <c r="H94" s="2" t="n">
        <v>4</v>
      </c>
      <c r="I94" s="4" t="n">
        <v>130</v>
      </c>
      <c r="J94" s="4" t="n">
        <f aca="false">H94*I94*(1-K94)</f>
        <v>442</v>
      </c>
      <c r="K94" s="5" t="n">
        <v>0.15</v>
      </c>
      <c r="L94" s="4" t="n">
        <f aca="false">J94*0.35</f>
        <v>154.7</v>
      </c>
    </row>
    <row r="95" customFormat="false" ht="15" hidden="false" customHeight="false" outlineLevel="0" collapsed="false">
      <c r="A95" s="2" t="s">
        <v>134</v>
      </c>
      <c r="B95" s="3" t="n">
        <v>45973</v>
      </c>
      <c r="C95" s="2" t="s">
        <v>27</v>
      </c>
      <c r="D95" s="2" t="s">
        <v>28</v>
      </c>
      <c r="E95" s="2" t="s">
        <v>29</v>
      </c>
      <c r="F95" s="2" t="s">
        <v>33</v>
      </c>
      <c r="G95" s="2" t="s">
        <v>34</v>
      </c>
      <c r="H95" s="2" t="n">
        <v>24</v>
      </c>
      <c r="I95" s="4" t="n">
        <v>150</v>
      </c>
      <c r="J95" s="4" t="n">
        <f aca="false">H95*I95*(1-K95)</f>
        <v>3240</v>
      </c>
      <c r="K95" s="5" t="n">
        <v>0.1</v>
      </c>
      <c r="L95" s="4" t="n">
        <f aca="false">J95*0.35</f>
        <v>1134</v>
      </c>
    </row>
    <row r="96" customFormat="false" ht="15" hidden="false" customHeight="false" outlineLevel="0" collapsed="false">
      <c r="A96" s="2" t="s">
        <v>135</v>
      </c>
      <c r="B96" s="3" t="n">
        <v>45702</v>
      </c>
      <c r="C96" s="2" t="s">
        <v>27</v>
      </c>
      <c r="D96" s="2" t="s">
        <v>31</v>
      </c>
      <c r="E96" s="2" t="s">
        <v>29</v>
      </c>
      <c r="F96" s="2" t="s">
        <v>16</v>
      </c>
      <c r="G96" s="2" t="s">
        <v>17</v>
      </c>
      <c r="H96" s="2" t="n">
        <v>11</v>
      </c>
      <c r="I96" s="4" t="n">
        <v>8</v>
      </c>
      <c r="J96" s="4" t="n">
        <f aca="false">H96*I96*(1-K96)</f>
        <v>83.6</v>
      </c>
      <c r="K96" s="5" t="n">
        <v>0.05</v>
      </c>
      <c r="L96" s="4" t="n">
        <f aca="false">J96*0.35</f>
        <v>29.26</v>
      </c>
    </row>
    <row r="97" customFormat="false" ht="15" hidden="false" customHeight="false" outlineLevel="0" collapsed="false">
      <c r="A97" s="2" t="s">
        <v>136</v>
      </c>
      <c r="B97" s="3" t="n">
        <v>45830</v>
      </c>
      <c r="C97" s="2" t="s">
        <v>42</v>
      </c>
      <c r="D97" s="2" t="s">
        <v>59</v>
      </c>
      <c r="E97" s="2" t="s">
        <v>53</v>
      </c>
      <c r="F97" s="2" t="s">
        <v>51</v>
      </c>
      <c r="G97" s="2" t="s">
        <v>34</v>
      </c>
      <c r="H97" s="2" t="n">
        <v>19</v>
      </c>
      <c r="I97" s="4" t="n">
        <v>130</v>
      </c>
      <c r="J97" s="4" t="n">
        <f aca="false">H97*I97*(1-K97)</f>
        <v>2099.5</v>
      </c>
      <c r="K97" s="5" t="n">
        <v>0.15</v>
      </c>
      <c r="L97" s="4" t="n">
        <f aca="false">J97*0.35</f>
        <v>734.825</v>
      </c>
    </row>
    <row r="98" customFormat="false" ht="15" hidden="false" customHeight="false" outlineLevel="0" collapsed="false">
      <c r="A98" s="2" t="s">
        <v>137</v>
      </c>
      <c r="B98" s="3" t="n">
        <v>45839</v>
      </c>
      <c r="C98" s="2" t="s">
        <v>13</v>
      </c>
      <c r="D98" s="2" t="s">
        <v>36</v>
      </c>
      <c r="E98" s="2" t="s">
        <v>32</v>
      </c>
      <c r="F98" s="2" t="s">
        <v>33</v>
      </c>
      <c r="G98" s="2" t="s">
        <v>34</v>
      </c>
      <c r="H98" s="2" t="n">
        <v>16</v>
      </c>
      <c r="I98" s="4" t="n">
        <v>150</v>
      </c>
      <c r="J98" s="4" t="n">
        <f aca="false">H98*I98*(1-K98)</f>
        <v>2280</v>
      </c>
      <c r="K98" s="5" t="n">
        <v>0.05</v>
      </c>
      <c r="L98" s="4" t="n">
        <f aca="false">J98*0.35</f>
        <v>798</v>
      </c>
    </row>
    <row r="99" customFormat="false" ht="15" hidden="false" customHeight="false" outlineLevel="0" collapsed="false">
      <c r="A99" s="2" t="s">
        <v>138</v>
      </c>
      <c r="B99" s="3" t="n">
        <v>45922</v>
      </c>
      <c r="C99" s="2" t="s">
        <v>42</v>
      </c>
      <c r="D99" s="2" t="s">
        <v>59</v>
      </c>
      <c r="E99" s="2" t="s">
        <v>32</v>
      </c>
      <c r="F99" s="2" t="s">
        <v>16</v>
      </c>
      <c r="G99" s="2" t="s">
        <v>17</v>
      </c>
      <c r="H99" s="2" t="n">
        <v>18</v>
      </c>
      <c r="I99" s="4" t="n">
        <v>8</v>
      </c>
      <c r="J99" s="4" t="n">
        <f aca="false">H99*I99*(1-K99)</f>
        <v>144</v>
      </c>
      <c r="K99" s="5" t="n">
        <v>0</v>
      </c>
      <c r="L99" s="4" t="n">
        <f aca="false">J99*0.35</f>
        <v>50.4</v>
      </c>
    </row>
    <row r="100" customFormat="false" ht="15" hidden="false" customHeight="false" outlineLevel="0" collapsed="false">
      <c r="A100" s="2" t="s">
        <v>139</v>
      </c>
      <c r="B100" s="3" t="n">
        <v>46011</v>
      </c>
      <c r="C100" s="2" t="s">
        <v>23</v>
      </c>
      <c r="D100" s="2" t="s">
        <v>24</v>
      </c>
      <c r="E100" s="2" t="s">
        <v>53</v>
      </c>
      <c r="F100" s="2" t="s">
        <v>20</v>
      </c>
      <c r="G100" s="2" t="s">
        <v>21</v>
      </c>
      <c r="H100" s="2" t="n">
        <v>16</v>
      </c>
      <c r="I100" s="4" t="n">
        <v>90</v>
      </c>
      <c r="J100" s="4" t="n">
        <f aca="false">H100*I100*(1-K100)</f>
        <v>1368</v>
      </c>
      <c r="K100" s="5" t="n">
        <v>0.05</v>
      </c>
      <c r="L100" s="4" t="n">
        <f aca="false">J100*0.35</f>
        <v>478.8</v>
      </c>
    </row>
    <row r="101" customFormat="false" ht="15" hidden="false" customHeight="false" outlineLevel="0" collapsed="false">
      <c r="A101" s="2" t="s">
        <v>140</v>
      </c>
      <c r="B101" s="3" t="n">
        <v>45771</v>
      </c>
      <c r="C101" s="2" t="s">
        <v>27</v>
      </c>
      <c r="D101" s="2" t="s">
        <v>31</v>
      </c>
      <c r="E101" s="2" t="s">
        <v>29</v>
      </c>
      <c r="F101" s="2" t="s">
        <v>25</v>
      </c>
      <c r="G101" s="2" t="s">
        <v>21</v>
      </c>
      <c r="H101" s="2" t="n">
        <v>3</v>
      </c>
      <c r="I101" s="4" t="n">
        <v>750</v>
      </c>
      <c r="J101" s="4" t="n">
        <f aca="false">H101*I101*(1-K101)</f>
        <v>2025</v>
      </c>
      <c r="K101" s="5" t="n">
        <v>0.1</v>
      </c>
      <c r="L101" s="4" t="n">
        <f aca="false">J101*0.35</f>
        <v>708.75</v>
      </c>
    </row>
    <row r="102" customFormat="false" ht="15" hidden="false" customHeight="false" outlineLevel="0" collapsed="false">
      <c r="A102" s="2" t="s">
        <v>141</v>
      </c>
      <c r="B102" s="3" t="n">
        <v>45875</v>
      </c>
      <c r="C102" s="2" t="s">
        <v>27</v>
      </c>
      <c r="D102" s="2" t="s">
        <v>28</v>
      </c>
      <c r="E102" s="2" t="s">
        <v>32</v>
      </c>
      <c r="F102" s="2" t="s">
        <v>38</v>
      </c>
      <c r="G102" s="2" t="s">
        <v>17</v>
      </c>
      <c r="H102" s="2" t="n">
        <v>16</v>
      </c>
      <c r="I102" s="4" t="n">
        <v>5</v>
      </c>
      <c r="J102" s="4" t="n">
        <f aca="false">H102*I102*(1-K102)</f>
        <v>72</v>
      </c>
      <c r="K102" s="5" t="n">
        <v>0.1</v>
      </c>
      <c r="L102" s="4" t="n">
        <f aca="false">J102*0.35</f>
        <v>25.2</v>
      </c>
    </row>
    <row r="103" customFormat="false" ht="15" hidden="false" customHeight="false" outlineLevel="0" collapsed="false">
      <c r="A103" s="2" t="s">
        <v>142</v>
      </c>
      <c r="B103" s="3" t="n">
        <v>45786</v>
      </c>
      <c r="C103" s="2" t="s">
        <v>42</v>
      </c>
      <c r="D103" s="2" t="s">
        <v>59</v>
      </c>
      <c r="E103" s="2" t="s">
        <v>15</v>
      </c>
      <c r="F103" s="2" t="s">
        <v>51</v>
      </c>
      <c r="G103" s="2" t="s">
        <v>34</v>
      </c>
      <c r="H103" s="2" t="n">
        <v>9</v>
      </c>
      <c r="I103" s="4" t="n">
        <v>130</v>
      </c>
      <c r="J103" s="4" t="n">
        <f aca="false">H103*I103*(1-K103)</f>
        <v>1053</v>
      </c>
      <c r="K103" s="5" t="n">
        <v>0.1</v>
      </c>
      <c r="L103" s="4" t="n">
        <f aca="false">J103*0.35</f>
        <v>368.55</v>
      </c>
    </row>
    <row r="104" customFormat="false" ht="15" hidden="false" customHeight="false" outlineLevel="0" collapsed="false">
      <c r="A104" s="2" t="s">
        <v>143</v>
      </c>
      <c r="B104" s="3" t="n">
        <v>45932</v>
      </c>
      <c r="C104" s="2" t="s">
        <v>23</v>
      </c>
      <c r="D104" s="2" t="s">
        <v>24</v>
      </c>
      <c r="E104" s="2" t="s">
        <v>15</v>
      </c>
      <c r="F104" s="2" t="s">
        <v>47</v>
      </c>
      <c r="G104" s="2" t="s">
        <v>34</v>
      </c>
      <c r="H104" s="2" t="n">
        <v>11</v>
      </c>
      <c r="I104" s="4" t="n">
        <v>400</v>
      </c>
      <c r="J104" s="4" t="n">
        <f aca="false">H104*I104*(1-K104)</f>
        <v>4400</v>
      </c>
      <c r="K104" s="5" t="n">
        <v>0</v>
      </c>
      <c r="L104" s="4" t="n">
        <f aca="false">J104*0.35</f>
        <v>1540</v>
      </c>
    </row>
    <row r="105" customFormat="false" ht="15" hidden="false" customHeight="false" outlineLevel="0" collapsed="false">
      <c r="A105" s="2" t="s">
        <v>144</v>
      </c>
      <c r="B105" s="3" t="n">
        <v>45709</v>
      </c>
      <c r="C105" s="2" t="s">
        <v>23</v>
      </c>
      <c r="D105" s="2" t="s">
        <v>24</v>
      </c>
      <c r="E105" s="2" t="s">
        <v>53</v>
      </c>
      <c r="F105" s="2" t="s">
        <v>51</v>
      </c>
      <c r="G105" s="2" t="s">
        <v>34</v>
      </c>
      <c r="H105" s="2" t="n">
        <v>9</v>
      </c>
      <c r="I105" s="4" t="n">
        <v>130</v>
      </c>
      <c r="J105" s="4" t="n">
        <f aca="false">H105*I105*(1-K105)</f>
        <v>1053</v>
      </c>
      <c r="K105" s="5" t="n">
        <v>0.1</v>
      </c>
      <c r="L105" s="4" t="n">
        <f aca="false">J105*0.35</f>
        <v>368.55</v>
      </c>
    </row>
    <row r="106" customFormat="false" ht="15" hidden="false" customHeight="false" outlineLevel="0" collapsed="false">
      <c r="A106" s="2" t="s">
        <v>145</v>
      </c>
      <c r="B106" s="3" t="n">
        <v>45665</v>
      </c>
      <c r="C106" s="2" t="s">
        <v>23</v>
      </c>
      <c r="D106" s="2" t="s">
        <v>69</v>
      </c>
      <c r="E106" s="2" t="s">
        <v>53</v>
      </c>
      <c r="F106" s="2" t="s">
        <v>38</v>
      </c>
      <c r="G106" s="2" t="s">
        <v>17</v>
      </c>
      <c r="H106" s="2" t="n">
        <v>6</v>
      </c>
      <c r="I106" s="4" t="n">
        <v>5</v>
      </c>
      <c r="J106" s="4" t="n">
        <f aca="false">H106*I106*(1-K106)</f>
        <v>27</v>
      </c>
      <c r="K106" s="5" t="n">
        <v>0.1</v>
      </c>
      <c r="L106" s="4" t="n">
        <f aca="false">J106*0.35</f>
        <v>9.45</v>
      </c>
    </row>
    <row r="107" customFormat="false" ht="15" hidden="false" customHeight="false" outlineLevel="0" collapsed="false">
      <c r="A107" s="2" t="s">
        <v>146</v>
      </c>
      <c r="B107" s="3" t="n">
        <v>46015</v>
      </c>
      <c r="C107" s="2" t="s">
        <v>23</v>
      </c>
      <c r="D107" s="2" t="s">
        <v>69</v>
      </c>
      <c r="E107" s="2" t="s">
        <v>37</v>
      </c>
      <c r="F107" s="2" t="s">
        <v>25</v>
      </c>
      <c r="G107" s="2" t="s">
        <v>21</v>
      </c>
      <c r="H107" s="2" t="n">
        <v>18</v>
      </c>
      <c r="I107" s="4" t="n">
        <v>750</v>
      </c>
      <c r="J107" s="4" t="n">
        <f aca="false">H107*I107*(1-K107)</f>
        <v>12150</v>
      </c>
      <c r="K107" s="5" t="n">
        <v>0.1</v>
      </c>
      <c r="L107" s="4" t="n">
        <f aca="false">J107*0.35</f>
        <v>4252.5</v>
      </c>
    </row>
    <row r="108" customFormat="false" ht="15" hidden="false" customHeight="false" outlineLevel="0" collapsed="false">
      <c r="A108" s="2" t="s">
        <v>147</v>
      </c>
      <c r="B108" s="3" t="n">
        <v>45898</v>
      </c>
      <c r="C108" s="2" t="s">
        <v>23</v>
      </c>
      <c r="D108" s="2" t="s">
        <v>69</v>
      </c>
      <c r="E108" s="2" t="s">
        <v>37</v>
      </c>
      <c r="F108" s="2" t="s">
        <v>25</v>
      </c>
      <c r="G108" s="2" t="s">
        <v>21</v>
      </c>
      <c r="H108" s="2" t="n">
        <v>19</v>
      </c>
      <c r="I108" s="4" t="n">
        <v>750</v>
      </c>
      <c r="J108" s="4" t="n">
        <f aca="false">H108*I108*(1-K108)</f>
        <v>12825</v>
      </c>
      <c r="K108" s="5" t="n">
        <v>0.1</v>
      </c>
      <c r="L108" s="4" t="n">
        <f aca="false">J108*0.35</f>
        <v>4488.75</v>
      </c>
    </row>
    <row r="109" customFormat="false" ht="15" hidden="false" customHeight="false" outlineLevel="0" collapsed="false">
      <c r="A109" s="2" t="s">
        <v>148</v>
      </c>
      <c r="B109" s="3" t="n">
        <v>45902</v>
      </c>
      <c r="C109" s="2" t="s">
        <v>27</v>
      </c>
      <c r="D109" s="2" t="s">
        <v>31</v>
      </c>
      <c r="E109" s="2" t="s">
        <v>32</v>
      </c>
      <c r="F109" s="2" t="s">
        <v>33</v>
      </c>
      <c r="G109" s="2" t="s">
        <v>34</v>
      </c>
      <c r="H109" s="2" t="n">
        <v>2</v>
      </c>
      <c r="I109" s="4" t="n">
        <v>150</v>
      </c>
      <c r="J109" s="4" t="n">
        <f aca="false">H109*I109*(1-K109)</f>
        <v>270</v>
      </c>
      <c r="K109" s="5" t="n">
        <v>0.1</v>
      </c>
      <c r="L109" s="4" t="n">
        <f aca="false">J109*0.35</f>
        <v>94.5</v>
      </c>
    </row>
    <row r="110" customFormat="false" ht="15" hidden="false" customHeight="false" outlineLevel="0" collapsed="false">
      <c r="A110" s="2" t="s">
        <v>149</v>
      </c>
      <c r="B110" s="3" t="n">
        <v>45735</v>
      </c>
      <c r="C110" s="2" t="s">
        <v>13</v>
      </c>
      <c r="D110" s="2" t="s">
        <v>14</v>
      </c>
      <c r="E110" s="2" t="s">
        <v>29</v>
      </c>
      <c r="F110" s="2" t="s">
        <v>51</v>
      </c>
      <c r="G110" s="2" t="s">
        <v>34</v>
      </c>
      <c r="H110" s="2" t="n">
        <v>3</v>
      </c>
      <c r="I110" s="4" t="n">
        <v>130</v>
      </c>
      <c r="J110" s="4" t="n">
        <f aca="false">H110*I110*(1-K110)</f>
        <v>390</v>
      </c>
      <c r="K110" s="5" t="n">
        <v>0</v>
      </c>
      <c r="L110" s="4" t="n">
        <f aca="false">J110*0.35</f>
        <v>136.5</v>
      </c>
    </row>
    <row r="111" customFormat="false" ht="15" hidden="false" customHeight="false" outlineLevel="0" collapsed="false">
      <c r="A111" s="2" t="s">
        <v>150</v>
      </c>
      <c r="B111" s="3" t="n">
        <v>45968</v>
      </c>
      <c r="C111" s="2" t="s">
        <v>23</v>
      </c>
      <c r="D111" s="2" t="s">
        <v>69</v>
      </c>
      <c r="E111" s="2" t="s">
        <v>37</v>
      </c>
      <c r="F111" s="2" t="s">
        <v>47</v>
      </c>
      <c r="G111" s="2" t="s">
        <v>34</v>
      </c>
      <c r="H111" s="2" t="n">
        <v>4</v>
      </c>
      <c r="I111" s="4" t="n">
        <v>400</v>
      </c>
      <c r="J111" s="4" t="n">
        <f aca="false">H111*I111*(1-K111)</f>
        <v>1360</v>
      </c>
      <c r="K111" s="5" t="n">
        <v>0.15</v>
      </c>
      <c r="L111" s="4" t="n">
        <f aca="false">J111*0.35</f>
        <v>476</v>
      </c>
    </row>
    <row r="112" customFormat="false" ht="15" hidden="false" customHeight="false" outlineLevel="0" collapsed="false">
      <c r="A112" s="2" t="s">
        <v>151</v>
      </c>
      <c r="B112" s="3" t="n">
        <v>45814</v>
      </c>
      <c r="C112" s="2" t="s">
        <v>23</v>
      </c>
      <c r="D112" s="2" t="s">
        <v>69</v>
      </c>
      <c r="E112" s="2" t="s">
        <v>29</v>
      </c>
      <c r="F112" s="2" t="s">
        <v>51</v>
      </c>
      <c r="G112" s="2" t="s">
        <v>34</v>
      </c>
      <c r="H112" s="2" t="n">
        <v>10</v>
      </c>
      <c r="I112" s="4" t="n">
        <v>130</v>
      </c>
      <c r="J112" s="4" t="n">
        <f aca="false">H112*I112*(1-K112)</f>
        <v>1105</v>
      </c>
      <c r="K112" s="5" t="n">
        <v>0.15</v>
      </c>
      <c r="L112" s="4" t="n">
        <f aca="false">J112*0.35</f>
        <v>386.75</v>
      </c>
    </row>
    <row r="113" customFormat="false" ht="15" hidden="false" customHeight="false" outlineLevel="0" collapsed="false">
      <c r="A113" s="2" t="s">
        <v>152</v>
      </c>
      <c r="B113" s="3" t="n">
        <v>45738</v>
      </c>
      <c r="C113" s="2" t="s">
        <v>13</v>
      </c>
      <c r="D113" s="2" t="s">
        <v>14</v>
      </c>
      <c r="E113" s="2" t="s">
        <v>53</v>
      </c>
      <c r="F113" s="2" t="s">
        <v>47</v>
      </c>
      <c r="G113" s="2" t="s">
        <v>34</v>
      </c>
      <c r="H113" s="2" t="n">
        <v>9</v>
      </c>
      <c r="I113" s="4" t="n">
        <v>400</v>
      </c>
      <c r="J113" s="4" t="n">
        <f aca="false">H113*I113*(1-K113)</f>
        <v>3600</v>
      </c>
      <c r="K113" s="5" t="n">
        <v>0</v>
      </c>
      <c r="L113" s="4" t="n">
        <f aca="false">J113*0.35</f>
        <v>1260</v>
      </c>
    </row>
    <row r="114" customFormat="false" ht="15" hidden="false" customHeight="false" outlineLevel="0" collapsed="false">
      <c r="A114" s="2" t="s">
        <v>153</v>
      </c>
      <c r="B114" s="3" t="n">
        <v>45867</v>
      </c>
      <c r="C114" s="2" t="s">
        <v>23</v>
      </c>
      <c r="D114" s="2" t="s">
        <v>24</v>
      </c>
      <c r="E114" s="2" t="s">
        <v>19</v>
      </c>
      <c r="F114" s="2" t="s">
        <v>40</v>
      </c>
      <c r="G114" s="2" t="s">
        <v>21</v>
      </c>
      <c r="H114" s="2" t="n">
        <v>6</v>
      </c>
      <c r="I114" s="4" t="n">
        <v>220</v>
      </c>
      <c r="J114" s="4" t="n">
        <f aca="false">H114*I114*(1-K114)</f>
        <v>1320</v>
      </c>
      <c r="K114" s="5" t="n">
        <v>0</v>
      </c>
      <c r="L114" s="4" t="n">
        <f aca="false">J114*0.35</f>
        <v>462</v>
      </c>
    </row>
    <row r="115" customFormat="false" ht="15" hidden="false" customHeight="false" outlineLevel="0" collapsed="false">
      <c r="A115" s="2" t="s">
        <v>154</v>
      </c>
      <c r="B115" s="3" t="n">
        <v>46019</v>
      </c>
      <c r="C115" s="2" t="s">
        <v>27</v>
      </c>
      <c r="D115" s="2" t="s">
        <v>31</v>
      </c>
      <c r="E115" s="2" t="s">
        <v>32</v>
      </c>
      <c r="F115" s="2" t="s">
        <v>25</v>
      </c>
      <c r="G115" s="2" t="s">
        <v>21</v>
      </c>
      <c r="H115" s="2" t="n">
        <v>8</v>
      </c>
      <c r="I115" s="4" t="n">
        <v>750</v>
      </c>
      <c r="J115" s="4" t="n">
        <f aca="false">H115*I115*(1-K115)</f>
        <v>5400</v>
      </c>
      <c r="K115" s="5" t="n">
        <v>0.1</v>
      </c>
      <c r="L115" s="4" t="n">
        <f aca="false">J115*0.35</f>
        <v>1890</v>
      </c>
    </row>
    <row r="116" customFormat="false" ht="15" hidden="false" customHeight="false" outlineLevel="0" collapsed="false">
      <c r="A116" s="2" t="s">
        <v>155</v>
      </c>
      <c r="B116" s="3" t="n">
        <v>45875</v>
      </c>
      <c r="C116" s="2" t="s">
        <v>42</v>
      </c>
      <c r="D116" s="2" t="s">
        <v>59</v>
      </c>
      <c r="E116" s="2" t="s">
        <v>37</v>
      </c>
      <c r="F116" s="2" t="s">
        <v>47</v>
      </c>
      <c r="G116" s="2" t="s">
        <v>34</v>
      </c>
      <c r="H116" s="2" t="n">
        <v>9</v>
      </c>
      <c r="I116" s="4" t="n">
        <v>400</v>
      </c>
      <c r="J116" s="4" t="n">
        <f aca="false">H116*I116*(1-K116)</f>
        <v>3420</v>
      </c>
      <c r="K116" s="5" t="n">
        <v>0.05</v>
      </c>
      <c r="L116" s="4" t="n">
        <f aca="false">J116*0.35</f>
        <v>1197</v>
      </c>
    </row>
    <row r="117" customFormat="false" ht="15" hidden="false" customHeight="false" outlineLevel="0" collapsed="false">
      <c r="A117" s="2" t="s">
        <v>156</v>
      </c>
      <c r="B117" s="3" t="n">
        <v>45694</v>
      </c>
      <c r="C117" s="2" t="s">
        <v>13</v>
      </c>
      <c r="D117" s="2" t="s">
        <v>14</v>
      </c>
      <c r="E117" s="2" t="s">
        <v>15</v>
      </c>
      <c r="F117" s="2" t="s">
        <v>33</v>
      </c>
      <c r="G117" s="2" t="s">
        <v>34</v>
      </c>
      <c r="H117" s="2" t="n">
        <v>9</v>
      </c>
      <c r="I117" s="4" t="n">
        <v>150</v>
      </c>
      <c r="J117" s="4" t="n">
        <f aca="false">H117*I117*(1-K117)</f>
        <v>1282.5</v>
      </c>
      <c r="K117" s="5" t="n">
        <v>0.05</v>
      </c>
      <c r="L117" s="4" t="n">
        <f aca="false">J117*0.35</f>
        <v>448.875</v>
      </c>
    </row>
    <row r="118" customFormat="false" ht="15" hidden="false" customHeight="false" outlineLevel="0" collapsed="false">
      <c r="A118" s="2" t="s">
        <v>157</v>
      </c>
      <c r="B118" s="3" t="n">
        <v>45897</v>
      </c>
      <c r="C118" s="2" t="s">
        <v>13</v>
      </c>
      <c r="D118" s="2" t="s">
        <v>14</v>
      </c>
      <c r="E118" s="2" t="s">
        <v>32</v>
      </c>
      <c r="F118" s="2" t="s">
        <v>16</v>
      </c>
      <c r="G118" s="2" t="s">
        <v>17</v>
      </c>
      <c r="H118" s="2" t="n">
        <v>15</v>
      </c>
      <c r="I118" s="4" t="n">
        <v>8</v>
      </c>
      <c r="J118" s="4" t="n">
        <f aca="false">H118*I118*(1-K118)</f>
        <v>120</v>
      </c>
      <c r="K118" s="5" t="n">
        <v>0</v>
      </c>
      <c r="L118" s="4" t="n">
        <f aca="false">J118*0.35</f>
        <v>42</v>
      </c>
    </row>
    <row r="119" customFormat="false" ht="15" hidden="false" customHeight="false" outlineLevel="0" collapsed="false">
      <c r="A119" s="2" t="s">
        <v>158</v>
      </c>
      <c r="B119" s="3" t="n">
        <v>45964</v>
      </c>
      <c r="C119" s="2" t="s">
        <v>42</v>
      </c>
      <c r="D119" s="2" t="s">
        <v>59</v>
      </c>
      <c r="E119" s="2" t="s">
        <v>32</v>
      </c>
      <c r="F119" s="2" t="s">
        <v>51</v>
      </c>
      <c r="G119" s="2" t="s">
        <v>34</v>
      </c>
      <c r="H119" s="2" t="n">
        <v>15</v>
      </c>
      <c r="I119" s="4" t="n">
        <v>130</v>
      </c>
      <c r="J119" s="4" t="n">
        <f aca="false">H119*I119*(1-K119)</f>
        <v>1950</v>
      </c>
      <c r="K119" s="5" t="n">
        <v>0</v>
      </c>
      <c r="L119" s="4" t="n">
        <f aca="false">J119*0.35</f>
        <v>682.5</v>
      </c>
    </row>
    <row r="120" customFormat="false" ht="15" hidden="false" customHeight="false" outlineLevel="0" collapsed="false">
      <c r="A120" s="2" t="s">
        <v>159</v>
      </c>
      <c r="B120" s="3" t="n">
        <v>45671</v>
      </c>
      <c r="C120" s="2" t="s">
        <v>13</v>
      </c>
      <c r="D120" s="2" t="s">
        <v>36</v>
      </c>
      <c r="E120" s="2" t="s">
        <v>15</v>
      </c>
      <c r="F120" s="2" t="s">
        <v>38</v>
      </c>
      <c r="G120" s="2" t="s">
        <v>17</v>
      </c>
      <c r="H120" s="2" t="n">
        <v>20</v>
      </c>
      <c r="I120" s="4" t="n">
        <v>5</v>
      </c>
      <c r="J120" s="4" t="n">
        <f aca="false">H120*I120*(1-K120)</f>
        <v>90</v>
      </c>
      <c r="K120" s="5" t="n">
        <v>0.1</v>
      </c>
      <c r="L120" s="4" t="n">
        <f aca="false">J120*0.35</f>
        <v>31.5</v>
      </c>
    </row>
    <row r="121" customFormat="false" ht="15" hidden="false" customHeight="false" outlineLevel="0" collapsed="false">
      <c r="A121" s="2" t="s">
        <v>160</v>
      </c>
      <c r="B121" s="3" t="n">
        <v>45953</v>
      </c>
      <c r="C121" s="2" t="s">
        <v>13</v>
      </c>
      <c r="D121" s="2" t="s">
        <v>14</v>
      </c>
      <c r="E121" s="2" t="s">
        <v>15</v>
      </c>
      <c r="F121" s="2" t="s">
        <v>25</v>
      </c>
      <c r="G121" s="2" t="s">
        <v>21</v>
      </c>
      <c r="H121" s="2" t="n">
        <v>25</v>
      </c>
      <c r="I121" s="4" t="n">
        <v>750</v>
      </c>
      <c r="J121" s="4" t="n">
        <f aca="false">H121*I121*(1-K121)</f>
        <v>16875</v>
      </c>
      <c r="K121" s="5" t="n">
        <v>0.1</v>
      </c>
      <c r="L121" s="4" t="n">
        <f aca="false">J121*0.35</f>
        <v>5906.25</v>
      </c>
    </row>
    <row r="122" customFormat="false" ht="15" hidden="false" customHeight="false" outlineLevel="0" collapsed="false">
      <c r="A122" s="2" t="s">
        <v>161</v>
      </c>
      <c r="B122" s="3" t="n">
        <v>45957</v>
      </c>
      <c r="C122" s="2" t="s">
        <v>13</v>
      </c>
      <c r="D122" s="2" t="s">
        <v>14</v>
      </c>
      <c r="E122" s="2" t="s">
        <v>29</v>
      </c>
      <c r="F122" s="2" t="s">
        <v>51</v>
      </c>
      <c r="G122" s="2" t="s">
        <v>34</v>
      </c>
      <c r="H122" s="2" t="n">
        <v>9</v>
      </c>
      <c r="I122" s="4" t="n">
        <v>130</v>
      </c>
      <c r="J122" s="4" t="n">
        <f aca="false">H122*I122*(1-K122)</f>
        <v>1111.5</v>
      </c>
      <c r="K122" s="5" t="n">
        <v>0.05</v>
      </c>
      <c r="L122" s="4" t="n">
        <f aca="false">J122*0.35</f>
        <v>389.025</v>
      </c>
    </row>
    <row r="123" customFormat="false" ht="15" hidden="false" customHeight="false" outlineLevel="0" collapsed="false">
      <c r="A123" s="2" t="s">
        <v>162</v>
      </c>
      <c r="B123" s="3" t="n">
        <v>45828</v>
      </c>
      <c r="C123" s="2" t="s">
        <v>27</v>
      </c>
      <c r="D123" s="2" t="s">
        <v>31</v>
      </c>
      <c r="E123" s="2" t="s">
        <v>37</v>
      </c>
      <c r="F123" s="2" t="s">
        <v>51</v>
      </c>
      <c r="G123" s="2" t="s">
        <v>34</v>
      </c>
      <c r="H123" s="2" t="n">
        <v>12</v>
      </c>
      <c r="I123" s="4" t="n">
        <v>130</v>
      </c>
      <c r="J123" s="4" t="n">
        <f aca="false">H123*I123*(1-K123)</f>
        <v>1326</v>
      </c>
      <c r="K123" s="5" t="n">
        <v>0.15</v>
      </c>
      <c r="L123" s="4" t="n">
        <f aca="false">J123*0.35</f>
        <v>464.1</v>
      </c>
    </row>
    <row r="124" customFormat="false" ht="15" hidden="false" customHeight="false" outlineLevel="0" collapsed="false">
      <c r="A124" s="2" t="s">
        <v>163</v>
      </c>
      <c r="B124" s="3" t="n">
        <v>45805</v>
      </c>
      <c r="C124" s="2" t="s">
        <v>42</v>
      </c>
      <c r="D124" s="2" t="s">
        <v>43</v>
      </c>
      <c r="E124" s="2" t="s">
        <v>53</v>
      </c>
      <c r="F124" s="2" t="s">
        <v>38</v>
      </c>
      <c r="G124" s="2" t="s">
        <v>17</v>
      </c>
      <c r="H124" s="2" t="n">
        <v>14</v>
      </c>
      <c r="I124" s="4" t="n">
        <v>5</v>
      </c>
      <c r="J124" s="4" t="n">
        <f aca="false">H124*I124*(1-K124)</f>
        <v>59.5</v>
      </c>
      <c r="K124" s="5" t="n">
        <v>0.15</v>
      </c>
      <c r="L124" s="4" t="n">
        <f aca="false">J124*0.35</f>
        <v>20.825</v>
      </c>
    </row>
    <row r="125" customFormat="false" ht="15" hidden="false" customHeight="false" outlineLevel="0" collapsed="false">
      <c r="A125" s="2" t="s">
        <v>164</v>
      </c>
      <c r="B125" s="3" t="n">
        <v>45823</v>
      </c>
      <c r="C125" s="2" t="s">
        <v>27</v>
      </c>
      <c r="D125" s="2" t="s">
        <v>28</v>
      </c>
      <c r="E125" s="2" t="s">
        <v>29</v>
      </c>
      <c r="F125" s="2" t="s">
        <v>40</v>
      </c>
      <c r="G125" s="2" t="s">
        <v>21</v>
      </c>
      <c r="H125" s="2" t="n">
        <v>11</v>
      </c>
      <c r="I125" s="4" t="n">
        <v>220</v>
      </c>
      <c r="J125" s="4" t="n">
        <f aca="false">H125*I125*(1-K125)</f>
        <v>2178</v>
      </c>
      <c r="K125" s="5" t="n">
        <v>0.1</v>
      </c>
      <c r="L125" s="4" t="n">
        <f aca="false">J125*0.35</f>
        <v>762.3</v>
      </c>
    </row>
    <row r="126" customFormat="false" ht="15" hidden="false" customHeight="false" outlineLevel="0" collapsed="false">
      <c r="A126" s="2" t="s">
        <v>165</v>
      </c>
      <c r="B126" s="3" t="n">
        <v>45869</v>
      </c>
      <c r="C126" s="2" t="s">
        <v>13</v>
      </c>
      <c r="D126" s="2" t="s">
        <v>36</v>
      </c>
      <c r="E126" s="2" t="s">
        <v>19</v>
      </c>
      <c r="F126" s="2" t="s">
        <v>25</v>
      </c>
      <c r="G126" s="2" t="s">
        <v>21</v>
      </c>
      <c r="H126" s="2" t="n">
        <v>22</v>
      </c>
      <c r="I126" s="4" t="n">
        <v>750</v>
      </c>
      <c r="J126" s="4" t="n">
        <f aca="false">H126*I126*(1-K126)</f>
        <v>14025</v>
      </c>
      <c r="K126" s="5" t="n">
        <v>0.15</v>
      </c>
      <c r="L126" s="4" t="n">
        <f aca="false">J126*0.35</f>
        <v>4908.75</v>
      </c>
    </row>
    <row r="127" customFormat="false" ht="15" hidden="false" customHeight="false" outlineLevel="0" collapsed="false">
      <c r="A127" s="2" t="s">
        <v>166</v>
      </c>
      <c r="B127" s="3" t="n">
        <v>45978</v>
      </c>
      <c r="C127" s="2" t="s">
        <v>13</v>
      </c>
      <c r="D127" s="2" t="s">
        <v>14</v>
      </c>
      <c r="E127" s="2" t="s">
        <v>19</v>
      </c>
      <c r="F127" s="2" t="s">
        <v>38</v>
      </c>
      <c r="G127" s="2" t="s">
        <v>17</v>
      </c>
      <c r="H127" s="2" t="n">
        <v>20</v>
      </c>
      <c r="I127" s="4" t="n">
        <v>5</v>
      </c>
      <c r="J127" s="4" t="n">
        <f aca="false">H127*I127*(1-K127)</f>
        <v>85</v>
      </c>
      <c r="K127" s="5" t="n">
        <v>0.15</v>
      </c>
      <c r="L127" s="4" t="n">
        <f aca="false">J127*0.35</f>
        <v>29.75</v>
      </c>
    </row>
    <row r="128" customFormat="false" ht="15" hidden="false" customHeight="false" outlineLevel="0" collapsed="false">
      <c r="A128" s="2" t="s">
        <v>167</v>
      </c>
      <c r="B128" s="3" t="n">
        <v>45805</v>
      </c>
      <c r="C128" s="2" t="s">
        <v>27</v>
      </c>
      <c r="D128" s="2" t="s">
        <v>28</v>
      </c>
      <c r="E128" s="2" t="s">
        <v>53</v>
      </c>
      <c r="F128" s="2" t="s">
        <v>16</v>
      </c>
      <c r="G128" s="2" t="s">
        <v>17</v>
      </c>
      <c r="H128" s="2" t="n">
        <v>18</v>
      </c>
      <c r="I128" s="4" t="n">
        <v>8</v>
      </c>
      <c r="J128" s="4" t="n">
        <f aca="false">H128*I128*(1-K128)</f>
        <v>136.8</v>
      </c>
      <c r="K128" s="5" t="n">
        <v>0.05</v>
      </c>
      <c r="L128" s="4" t="n">
        <f aca="false">J128*0.35</f>
        <v>47.88</v>
      </c>
    </row>
    <row r="129" customFormat="false" ht="15" hidden="false" customHeight="false" outlineLevel="0" collapsed="false">
      <c r="A129" s="2" t="s">
        <v>168</v>
      </c>
      <c r="B129" s="3" t="n">
        <v>46021</v>
      </c>
      <c r="C129" s="2" t="s">
        <v>27</v>
      </c>
      <c r="D129" s="2" t="s">
        <v>31</v>
      </c>
      <c r="E129" s="2" t="s">
        <v>37</v>
      </c>
      <c r="F129" s="2" t="s">
        <v>25</v>
      </c>
      <c r="G129" s="2" t="s">
        <v>21</v>
      </c>
      <c r="H129" s="2" t="n">
        <v>21</v>
      </c>
      <c r="I129" s="4" t="n">
        <v>750</v>
      </c>
      <c r="J129" s="4" t="n">
        <f aca="false">H129*I129*(1-K129)</f>
        <v>14962.5</v>
      </c>
      <c r="K129" s="5" t="n">
        <v>0.05</v>
      </c>
      <c r="L129" s="4" t="n">
        <f aca="false">J129*0.35</f>
        <v>5236.875</v>
      </c>
    </row>
    <row r="130" customFormat="false" ht="15" hidden="false" customHeight="false" outlineLevel="0" collapsed="false">
      <c r="A130" s="2" t="s">
        <v>169</v>
      </c>
      <c r="B130" s="3" t="n">
        <v>45705</v>
      </c>
      <c r="C130" s="2" t="s">
        <v>23</v>
      </c>
      <c r="D130" s="2" t="s">
        <v>69</v>
      </c>
      <c r="E130" s="2" t="s">
        <v>19</v>
      </c>
      <c r="F130" s="2" t="s">
        <v>25</v>
      </c>
      <c r="G130" s="2" t="s">
        <v>21</v>
      </c>
      <c r="H130" s="2" t="n">
        <v>18</v>
      </c>
      <c r="I130" s="4" t="n">
        <v>750</v>
      </c>
      <c r="J130" s="4" t="n">
        <f aca="false">H130*I130*(1-K130)</f>
        <v>11475</v>
      </c>
      <c r="K130" s="5" t="n">
        <v>0.15</v>
      </c>
      <c r="L130" s="4" t="n">
        <f aca="false">J130*0.35</f>
        <v>4016.25</v>
      </c>
    </row>
    <row r="131" customFormat="false" ht="15" hidden="false" customHeight="false" outlineLevel="0" collapsed="false">
      <c r="A131" s="2" t="s">
        <v>170</v>
      </c>
      <c r="B131" s="3" t="n">
        <v>45913</v>
      </c>
      <c r="C131" s="2" t="s">
        <v>23</v>
      </c>
      <c r="D131" s="2" t="s">
        <v>24</v>
      </c>
      <c r="E131" s="2" t="s">
        <v>29</v>
      </c>
      <c r="F131" s="2" t="s">
        <v>40</v>
      </c>
      <c r="G131" s="2" t="s">
        <v>21</v>
      </c>
      <c r="H131" s="2" t="n">
        <v>21</v>
      </c>
      <c r="I131" s="4" t="n">
        <v>220</v>
      </c>
      <c r="J131" s="4" t="n">
        <f aca="false">H131*I131*(1-K131)</f>
        <v>4389</v>
      </c>
      <c r="K131" s="5" t="n">
        <v>0.05</v>
      </c>
      <c r="L131" s="4" t="n">
        <f aca="false">J131*0.35</f>
        <v>1536.15</v>
      </c>
    </row>
    <row r="132" customFormat="false" ht="15" hidden="false" customHeight="false" outlineLevel="0" collapsed="false">
      <c r="A132" s="2" t="s">
        <v>171</v>
      </c>
      <c r="B132" s="3" t="n">
        <v>45891</v>
      </c>
      <c r="C132" s="2" t="s">
        <v>42</v>
      </c>
      <c r="D132" s="2" t="s">
        <v>59</v>
      </c>
      <c r="E132" s="2" t="s">
        <v>29</v>
      </c>
      <c r="F132" s="2" t="s">
        <v>51</v>
      </c>
      <c r="G132" s="2" t="s">
        <v>34</v>
      </c>
      <c r="H132" s="2" t="n">
        <v>16</v>
      </c>
      <c r="I132" s="4" t="n">
        <v>130</v>
      </c>
      <c r="J132" s="4" t="n">
        <f aca="false">H132*I132*(1-K132)</f>
        <v>1976</v>
      </c>
      <c r="K132" s="5" t="n">
        <v>0.05</v>
      </c>
      <c r="L132" s="4" t="n">
        <f aca="false">J132*0.35</f>
        <v>691.6</v>
      </c>
    </row>
    <row r="133" customFormat="false" ht="15" hidden="false" customHeight="false" outlineLevel="0" collapsed="false">
      <c r="A133" s="2" t="s">
        <v>172</v>
      </c>
      <c r="B133" s="3" t="n">
        <v>45870</v>
      </c>
      <c r="C133" s="2" t="s">
        <v>23</v>
      </c>
      <c r="D133" s="2" t="s">
        <v>69</v>
      </c>
      <c r="E133" s="2" t="s">
        <v>53</v>
      </c>
      <c r="F133" s="2" t="s">
        <v>33</v>
      </c>
      <c r="G133" s="2" t="s">
        <v>34</v>
      </c>
      <c r="H133" s="2" t="n">
        <v>3</v>
      </c>
      <c r="I133" s="4" t="n">
        <v>150</v>
      </c>
      <c r="J133" s="4" t="n">
        <f aca="false">H133*I133*(1-K133)</f>
        <v>405</v>
      </c>
      <c r="K133" s="5" t="n">
        <v>0.1</v>
      </c>
      <c r="L133" s="4" t="n">
        <f aca="false">J133*0.35</f>
        <v>141.75</v>
      </c>
    </row>
    <row r="134" customFormat="false" ht="15" hidden="false" customHeight="false" outlineLevel="0" collapsed="false">
      <c r="A134" s="2" t="s">
        <v>173</v>
      </c>
      <c r="B134" s="3" t="n">
        <v>45958</v>
      </c>
      <c r="C134" s="2" t="s">
        <v>42</v>
      </c>
      <c r="D134" s="2" t="s">
        <v>59</v>
      </c>
      <c r="E134" s="2" t="s">
        <v>37</v>
      </c>
      <c r="F134" s="2" t="s">
        <v>16</v>
      </c>
      <c r="G134" s="2" t="s">
        <v>17</v>
      </c>
      <c r="H134" s="2" t="n">
        <v>24</v>
      </c>
      <c r="I134" s="4" t="n">
        <v>8</v>
      </c>
      <c r="J134" s="4" t="n">
        <f aca="false">H134*I134*(1-K134)</f>
        <v>172.8</v>
      </c>
      <c r="K134" s="5" t="n">
        <v>0.1</v>
      </c>
      <c r="L134" s="4" t="n">
        <f aca="false">J134*0.35</f>
        <v>60.48</v>
      </c>
    </row>
    <row r="135" customFormat="false" ht="15" hidden="false" customHeight="false" outlineLevel="0" collapsed="false">
      <c r="A135" s="2" t="s">
        <v>174</v>
      </c>
      <c r="B135" s="3" t="n">
        <v>45940</v>
      </c>
      <c r="C135" s="2" t="s">
        <v>27</v>
      </c>
      <c r="D135" s="2" t="s">
        <v>28</v>
      </c>
      <c r="E135" s="2" t="s">
        <v>29</v>
      </c>
      <c r="F135" s="2" t="s">
        <v>51</v>
      </c>
      <c r="G135" s="2" t="s">
        <v>34</v>
      </c>
      <c r="H135" s="2" t="n">
        <v>12</v>
      </c>
      <c r="I135" s="4" t="n">
        <v>130</v>
      </c>
      <c r="J135" s="4" t="n">
        <f aca="false">H135*I135*(1-K135)</f>
        <v>1404</v>
      </c>
      <c r="K135" s="5" t="n">
        <v>0.1</v>
      </c>
      <c r="L135" s="4" t="n">
        <f aca="false">J135*0.35</f>
        <v>491.4</v>
      </c>
    </row>
    <row r="136" customFormat="false" ht="15" hidden="false" customHeight="false" outlineLevel="0" collapsed="false">
      <c r="A136" s="2" t="s">
        <v>175</v>
      </c>
      <c r="B136" s="3" t="n">
        <v>45950</v>
      </c>
      <c r="C136" s="2" t="s">
        <v>27</v>
      </c>
      <c r="D136" s="2" t="s">
        <v>31</v>
      </c>
      <c r="E136" s="2" t="s">
        <v>32</v>
      </c>
      <c r="F136" s="2" t="s">
        <v>47</v>
      </c>
      <c r="G136" s="2" t="s">
        <v>34</v>
      </c>
      <c r="H136" s="2" t="n">
        <v>23</v>
      </c>
      <c r="I136" s="4" t="n">
        <v>400</v>
      </c>
      <c r="J136" s="4" t="n">
        <f aca="false">H136*I136*(1-K136)</f>
        <v>8740</v>
      </c>
      <c r="K136" s="5" t="n">
        <v>0.05</v>
      </c>
      <c r="L136" s="4" t="n">
        <f aca="false">J136*0.35</f>
        <v>3059</v>
      </c>
    </row>
    <row r="137" customFormat="false" ht="15" hidden="false" customHeight="false" outlineLevel="0" collapsed="false">
      <c r="A137" s="2" t="s">
        <v>176</v>
      </c>
      <c r="B137" s="3" t="n">
        <v>46019</v>
      </c>
      <c r="C137" s="2" t="s">
        <v>27</v>
      </c>
      <c r="D137" s="2" t="s">
        <v>28</v>
      </c>
      <c r="E137" s="2" t="s">
        <v>29</v>
      </c>
      <c r="F137" s="2" t="s">
        <v>25</v>
      </c>
      <c r="G137" s="2" t="s">
        <v>21</v>
      </c>
      <c r="H137" s="2" t="n">
        <v>11</v>
      </c>
      <c r="I137" s="4" t="n">
        <v>750</v>
      </c>
      <c r="J137" s="4" t="n">
        <f aca="false">H137*I137*(1-K137)</f>
        <v>7012.5</v>
      </c>
      <c r="K137" s="5" t="n">
        <v>0.15</v>
      </c>
      <c r="L137" s="4" t="n">
        <f aca="false">J137*0.35</f>
        <v>2454.375</v>
      </c>
    </row>
    <row r="138" customFormat="false" ht="15" hidden="false" customHeight="false" outlineLevel="0" collapsed="false">
      <c r="A138" s="2" t="s">
        <v>177</v>
      </c>
      <c r="B138" s="3" t="n">
        <v>45722</v>
      </c>
      <c r="C138" s="2" t="s">
        <v>27</v>
      </c>
      <c r="D138" s="2" t="s">
        <v>31</v>
      </c>
      <c r="E138" s="2" t="s">
        <v>15</v>
      </c>
      <c r="F138" s="2" t="s">
        <v>33</v>
      </c>
      <c r="G138" s="2" t="s">
        <v>34</v>
      </c>
      <c r="H138" s="2" t="n">
        <v>16</v>
      </c>
      <c r="I138" s="4" t="n">
        <v>150</v>
      </c>
      <c r="J138" s="4" t="n">
        <f aca="false">H138*I138*(1-K138)</f>
        <v>2400</v>
      </c>
      <c r="K138" s="5" t="n">
        <v>0</v>
      </c>
      <c r="L138" s="4" t="n">
        <f aca="false">J138*0.35</f>
        <v>840</v>
      </c>
    </row>
    <row r="139" customFormat="false" ht="15" hidden="false" customHeight="false" outlineLevel="0" collapsed="false">
      <c r="A139" s="2" t="s">
        <v>178</v>
      </c>
      <c r="B139" s="3" t="n">
        <v>45665</v>
      </c>
      <c r="C139" s="2" t="s">
        <v>42</v>
      </c>
      <c r="D139" s="2" t="s">
        <v>43</v>
      </c>
      <c r="E139" s="2" t="s">
        <v>29</v>
      </c>
      <c r="F139" s="2" t="s">
        <v>40</v>
      </c>
      <c r="G139" s="2" t="s">
        <v>21</v>
      </c>
      <c r="H139" s="2" t="n">
        <v>17</v>
      </c>
      <c r="I139" s="4" t="n">
        <v>220</v>
      </c>
      <c r="J139" s="4" t="n">
        <f aca="false">H139*I139*(1-K139)</f>
        <v>3179</v>
      </c>
      <c r="K139" s="5" t="n">
        <v>0.15</v>
      </c>
      <c r="L139" s="4" t="n">
        <f aca="false">J139*0.35</f>
        <v>1112.65</v>
      </c>
    </row>
    <row r="140" customFormat="false" ht="15" hidden="false" customHeight="false" outlineLevel="0" collapsed="false">
      <c r="A140" s="2" t="s">
        <v>179</v>
      </c>
      <c r="B140" s="3" t="n">
        <v>45793</v>
      </c>
      <c r="C140" s="2" t="s">
        <v>23</v>
      </c>
      <c r="D140" s="2" t="s">
        <v>69</v>
      </c>
      <c r="E140" s="2" t="s">
        <v>15</v>
      </c>
      <c r="F140" s="2" t="s">
        <v>33</v>
      </c>
      <c r="G140" s="2" t="s">
        <v>34</v>
      </c>
      <c r="H140" s="2" t="n">
        <v>3</v>
      </c>
      <c r="I140" s="4" t="n">
        <v>150</v>
      </c>
      <c r="J140" s="4" t="n">
        <f aca="false">H140*I140*(1-K140)</f>
        <v>382.5</v>
      </c>
      <c r="K140" s="5" t="n">
        <v>0.15</v>
      </c>
      <c r="L140" s="4" t="n">
        <f aca="false">J140*0.35</f>
        <v>133.875</v>
      </c>
    </row>
    <row r="141" customFormat="false" ht="15" hidden="false" customHeight="false" outlineLevel="0" collapsed="false">
      <c r="A141" s="2" t="s">
        <v>180</v>
      </c>
      <c r="B141" s="3" t="n">
        <v>45820</v>
      </c>
      <c r="C141" s="2" t="s">
        <v>42</v>
      </c>
      <c r="D141" s="2" t="s">
        <v>59</v>
      </c>
      <c r="E141" s="2" t="s">
        <v>15</v>
      </c>
      <c r="F141" s="2" t="s">
        <v>40</v>
      </c>
      <c r="G141" s="2" t="s">
        <v>21</v>
      </c>
      <c r="H141" s="2" t="n">
        <v>11</v>
      </c>
      <c r="I141" s="4" t="n">
        <v>220</v>
      </c>
      <c r="J141" s="4" t="n">
        <f aca="false">H141*I141*(1-K141)</f>
        <v>2057</v>
      </c>
      <c r="K141" s="5" t="n">
        <v>0.15</v>
      </c>
      <c r="L141" s="4" t="n">
        <f aca="false">J141*0.35</f>
        <v>719.95</v>
      </c>
    </row>
    <row r="142" customFormat="false" ht="15" hidden="false" customHeight="false" outlineLevel="0" collapsed="false">
      <c r="A142" s="2" t="s">
        <v>181</v>
      </c>
      <c r="B142" s="3" t="n">
        <v>45774</v>
      </c>
      <c r="C142" s="2" t="s">
        <v>27</v>
      </c>
      <c r="D142" s="2" t="s">
        <v>28</v>
      </c>
      <c r="E142" s="2" t="s">
        <v>19</v>
      </c>
      <c r="F142" s="2" t="s">
        <v>40</v>
      </c>
      <c r="G142" s="2" t="s">
        <v>21</v>
      </c>
      <c r="H142" s="2" t="n">
        <v>8</v>
      </c>
      <c r="I142" s="4" t="n">
        <v>220</v>
      </c>
      <c r="J142" s="4" t="n">
        <f aca="false">H142*I142*(1-K142)</f>
        <v>1584</v>
      </c>
      <c r="K142" s="5" t="n">
        <v>0.1</v>
      </c>
      <c r="L142" s="4" t="n">
        <f aca="false">J142*0.35</f>
        <v>554.4</v>
      </c>
    </row>
    <row r="143" customFormat="false" ht="15" hidden="false" customHeight="false" outlineLevel="0" collapsed="false">
      <c r="A143" s="2" t="s">
        <v>182</v>
      </c>
      <c r="B143" s="3" t="n">
        <v>46013</v>
      </c>
      <c r="C143" s="2" t="s">
        <v>13</v>
      </c>
      <c r="D143" s="2" t="s">
        <v>36</v>
      </c>
      <c r="E143" s="2" t="s">
        <v>37</v>
      </c>
      <c r="F143" s="2" t="s">
        <v>40</v>
      </c>
      <c r="G143" s="2" t="s">
        <v>21</v>
      </c>
      <c r="H143" s="2" t="n">
        <v>15</v>
      </c>
      <c r="I143" s="4" t="n">
        <v>220</v>
      </c>
      <c r="J143" s="4" t="n">
        <f aca="false">H143*I143*(1-K143)</f>
        <v>3135</v>
      </c>
      <c r="K143" s="5" t="n">
        <v>0.05</v>
      </c>
      <c r="L143" s="4" t="n">
        <f aca="false">J143*0.35</f>
        <v>1097.25</v>
      </c>
    </row>
    <row r="144" customFormat="false" ht="15" hidden="false" customHeight="false" outlineLevel="0" collapsed="false">
      <c r="A144" s="2" t="s">
        <v>183</v>
      </c>
      <c r="B144" s="3" t="n">
        <v>45841</v>
      </c>
      <c r="C144" s="2" t="s">
        <v>42</v>
      </c>
      <c r="D144" s="2" t="s">
        <v>43</v>
      </c>
      <c r="E144" s="2" t="s">
        <v>37</v>
      </c>
      <c r="F144" s="2" t="s">
        <v>38</v>
      </c>
      <c r="G144" s="2" t="s">
        <v>17</v>
      </c>
      <c r="H144" s="2" t="n">
        <v>2</v>
      </c>
      <c r="I144" s="4" t="n">
        <v>5</v>
      </c>
      <c r="J144" s="4" t="n">
        <f aca="false">H144*I144*(1-K144)</f>
        <v>9</v>
      </c>
      <c r="K144" s="5" t="n">
        <v>0.1</v>
      </c>
      <c r="L144" s="4" t="n">
        <f aca="false">J144*0.35</f>
        <v>3.15</v>
      </c>
    </row>
    <row r="145" customFormat="false" ht="15" hidden="false" customHeight="false" outlineLevel="0" collapsed="false">
      <c r="A145" s="2" t="s">
        <v>184</v>
      </c>
      <c r="B145" s="3" t="n">
        <v>45947</v>
      </c>
      <c r="C145" s="2" t="s">
        <v>42</v>
      </c>
      <c r="D145" s="2" t="s">
        <v>59</v>
      </c>
      <c r="E145" s="2" t="s">
        <v>53</v>
      </c>
      <c r="F145" s="2" t="s">
        <v>47</v>
      </c>
      <c r="G145" s="2" t="s">
        <v>34</v>
      </c>
      <c r="H145" s="2" t="n">
        <v>17</v>
      </c>
      <c r="I145" s="4" t="n">
        <v>400</v>
      </c>
      <c r="J145" s="4" t="n">
        <f aca="false">H145*I145*(1-K145)</f>
        <v>5780</v>
      </c>
      <c r="K145" s="5" t="n">
        <v>0.15</v>
      </c>
      <c r="L145" s="4" t="n">
        <f aca="false">J145*0.35</f>
        <v>2023</v>
      </c>
    </row>
    <row r="146" customFormat="false" ht="15" hidden="false" customHeight="false" outlineLevel="0" collapsed="false">
      <c r="A146" s="2" t="s">
        <v>185</v>
      </c>
      <c r="B146" s="3" t="n">
        <v>45975</v>
      </c>
      <c r="C146" s="2" t="s">
        <v>23</v>
      </c>
      <c r="D146" s="2" t="s">
        <v>24</v>
      </c>
      <c r="E146" s="2" t="s">
        <v>53</v>
      </c>
      <c r="F146" s="2" t="s">
        <v>40</v>
      </c>
      <c r="G146" s="2" t="s">
        <v>21</v>
      </c>
      <c r="H146" s="2" t="n">
        <v>20</v>
      </c>
      <c r="I146" s="4" t="n">
        <v>220</v>
      </c>
      <c r="J146" s="4" t="n">
        <f aca="false">H146*I146*(1-K146)</f>
        <v>3740</v>
      </c>
      <c r="K146" s="5" t="n">
        <v>0.15</v>
      </c>
      <c r="L146" s="4" t="n">
        <f aca="false">J146*0.35</f>
        <v>1309</v>
      </c>
    </row>
    <row r="147" customFormat="false" ht="15" hidden="false" customHeight="false" outlineLevel="0" collapsed="false">
      <c r="A147" s="2" t="s">
        <v>186</v>
      </c>
      <c r="B147" s="3" t="n">
        <v>45984</v>
      </c>
      <c r="C147" s="2" t="s">
        <v>23</v>
      </c>
      <c r="D147" s="2" t="s">
        <v>69</v>
      </c>
      <c r="E147" s="2" t="s">
        <v>19</v>
      </c>
      <c r="F147" s="2" t="s">
        <v>33</v>
      </c>
      <c r="G147" s="2" t="s">
        <v>34</v>
      </c>
      <c r="H147" s="2" t="n">
        <v>8</v>
      </c>
      <c r="I147" s="4" t="n">
        <v>150</v>
      </c>
      <c r="J147" s="4" t="n">
        <f aca="false">H147*I147*(1-K147)</f>
        <v>1020</v>
      </c>
      <c r="K147" s="5" t="n">
        <v>0.15</v>
      </c>
      <c r="L147" s="4" t="n">
        <f aca="false">J147*0.35</f>
        <v>357</v>
      </c>
    </row>
    <row r="148" customFormat="false" ht="15" hidden="false" customHeight="false" outlineLevel="0" collapsed="false">
      <c r="A148" s="2" t="s">
        <v>187</v>
      </c>
      <c r="B148" s="3" t="n">
        <v>46004</v>
      </c>
      <c r="C148" s="2" t="s">
        <v>42</v>
      </c>
      <c r="D148" s="2" t="s">
        <v>59</v>
      </c>
      <c r="E148" s="2" t="s">
        <v>32</v>
      </c>
      <c r="F148" s="2" t="s">
        <v>25</v>
      </c>
      <c r="G148" s="2" t="s">
        <v>21</v>
      </c>
      <c r="H148" s="2" t="n">
        <v>15</v>
      </c>
      <c r="I148" s="4" t="n">
        <v>750</v>
      </c>
      <c r="J148" s="4" t="n">
        <f aca="false">H148*I148*(1-K148)</f>
        <v>10125</v>
      </c>
      <c r="K148" s="5" t="n">
        <v>0.1</v>
      </c>
      <c r="L148" s="4" t="n">
        <f aca="false">J148*0.35</f>
        <v>3543.75</v>
      </c>
    </row>
    <row r="149" customFormat="false" ht="15" hidden="false" customHeight="false" outlineLevel="0" collapsed="false">
      <c r="A149" s="2" t="s">
        <v>188</v>
      </c>
      <c r="B149" s="3" t="n">
        <v>45985</v>
      </c>
      <c r="C149" s="2" t="s">
        <v>23</v>
      </c>
      <c r="D149" s="2" t="s">
        <v>24</v>
      </c>
      <c r="E149" s="2" t="s">
        <v>29</v>
      </c>
      <c r="F149" s="2" t="s">
        <v>38</v>
      </c>
      <c r="G149" s="2" t="s">
        <v>17</v>
      </c>
      <c r="H149" s="2" t="n">
        <v>19</v>
      </c>
      <c r="I149" s="4" t="n">
        <v>5</v>
      </c>
      <c r="J149" s="4" t="n">
        <f aca="false">H149*I149*(1-K149)</f>
        <v>85.5</v>
      </c>
      <c r="K149" s="5" t="n">
        <v>0.1</v>
      </c>
      <c r="L149" s="4" t="n">
        <f aca="false">J149*0.35</f>
        <v>29.925</v>
      </c>
    </row>
    <row r="150" customFormat="false" ht="15" hidden="false" customHeight="false" outlineLevel="0" collapsed="false">
      <c r="A150" s="2" t="s">
        <v>189</v>
      </c>
      <c r="B150" s="3" t="n">
        <v>45905</v>
      </c>
      <c r="C150" s="2" t="s">
        <v>27</v>
      </c>
      <c r="D150" s="2" t="s">
        <v>31</v>
      </c>
      <c r="E150" s="2" t="s">
        <v>29</v>
      </c>
      <c r="F150" s="2" t="s">
        <v>16</v>
      </c>
      <c r="G150" s="2" t="s">
        <v>17</v>
      </c>
      <c r="H150" s="2" t="n">
        <v>7</v>
      </c>
      <c r="I150" s="4" t="n">
        <v>8</v>
      </c>
      <c r="J150" s="4" t="n">
        <f aca="false">H150*I150*(1-K150)</f>
        <v>47.6</v>
      </c>
      <c r="K150" s="5" t="n">
        <v>0.15</v>
      </c>
      <c r="L150" s="4" t="n">
        <f aca="false">J150*0.35</f>
        <v>16.66</v>
      </c>
    </row>
    <row r="151" customFormat="false" ht="15" hidden="false" customHeight="false" outlineLevel="0" collapsed="false">
      <c r="A151" s="2" t="s">
        <v>190</v>
      </c>
      <c r="B151" s="3" t="n">
        <v>46016</v>
      </c>
      <c r="C151" s="2" t="s">
        <v>13</v>
      </c>
      <c r="D151" s="2" t="s">
        <v>14</v>
      </c>
      <c r="E151" s="2" t="s">
        <v>29</v>
      </c>
      <c r="F151" s="2" t="s">
        <v>38</v>
      </c>
      <c r="G151" s="2" t="s">
        <v>17</v>
      </c>
      <c r="H151" s="2" t="n">
        <v>19</v>
      </c>
      <c r="I151" s="4" t="n">
        <v>5</v>
      </c>
      <c r="J151" s="4" t="n">
        <f aca="false">H151*I151*(1-K151)</f>
        <v>85.5</v>
      </c>
      <c r="K151" s="5" t="n">
        <v>0.1</v>
      </c>
      <c r="L151" s="4" t="n">
        <f aca="false">J151*0.35</f>
        <v>29.925</v>
      </c>
    </row>
    <row r="152" customFormat="false" ht="15" hidden="false" customHeight="false" outlineLevel="0" collapsed="false">
      <c r="A152" s="2" t="s">
        <v>191</v>
      </c>
      <c r="B152" s="3" t="n">
        <v>45947</v>
      </c>
      <c r="C152" s="2" t="s">
        <v>42</v>
      </c>
      <c r="D152" s="2" t="s">
        <v>43</v>
      </c>
      <c r="E152" s="2" t="s">
        <v>15</v>
      </c>
      <c r="F152" s="2" t="s">
        <v>20</v>
      </c>
      <c r="G152" s="2" t="s">
        <v>21</v>
      </c>
      <c r="H152" s="2" t="n">
        <v>9</v>
      </c>
      <c r="I152" s="4" t="n">
        <v>90</v>
      </c>
      <c r="J152" s="4" t="n">
        <f aca="false">H152*I152*(1-K152)</f>
        <v>810</v>
      </c>
      <c r="K152" s="5" t="n">
        <v>0</v>
      </c>
      <c r="L152" s="4" t="n">
        <f aca="false">J152*0.35</f>
        <v>283.5</v>
      </c>
    </row>
    <row r="153" customFormat="false" ht="15" hidden="false" customHeight="false" outlineLevel="0" collapsed="false">
      <c r="A153" s="2" t="s">
        <v>192</v>
      </c>
      <c r="B153" s="3" t="n">
        <v>45770</v>
      </c>
      <c r="C153" s="2" t="s">
        <v>13</v>
      </c>
      <c r="D153" s="2" t="s">
        <v>36</v>
      </c>
      <c r="E153" s="2" t="s">
        <v>32</v>
      </c>
      <c r="F153" s="2" t="s">
        <v>47</v>
      </c>
      <c r="G153" s="2" t="s">
        <v>34</v>
      </c>
      <c r="H153" s="2" t="n">
        <v>20</v>
      </c>
      <c r="I153" s="4" t="n">
        <v>400</v>
      </c>
      <c r="J153" s="4" t="n">
        <f aca="false">H153*I153*(1-K153)</f>
        <v>7200</v>
      </c>
      <c r="K153" s="5" t="n">
        <v>0.1</v>
      </c>
      <c r="L153" s="4" t="n">
        <f aca="false">J153*0.35</f>
        <v>2520</v>
      </c>
    </row>
    <row r="154" customFormat="false" ht="15" hidden="false" customHeight="false" outlineLevel="0" collapsed="false">
      <c r="A154" s="2" t="s">
        <v>193</v>
      </c>
      <c r="B154" s="3" t="n">
        <v>45979</v>
      </c>
      <c r="C154" s="2" t="s">
        <v>23</v>
      </c>
      <c r="D154" s="2" t="s">
        <v>69</v>
      </c>
      <c r="E154" s="2" t="s">
        <v>15</v>
      </c>
      <c r="F154" s="2" t="s">
        <v>33</v>
      </c>
      <c r="G154" s="2" t="s">
        <v>34</v>
      </c>
      <c r="H154" s="2" t="n">
        <v>21</v>
      </c>
      <c r="I154" s="4" t="n">
        <v>150</v>
      </c>
      <c r="J154" s="4" t="n">
        <f aca="false">H154*I154*(1-K154)</f>
        <v>3150</v>
      </c>
      <c r="K154" s="5" t="n">
        <v>0</v>
      </c>
      <c r="L154" s="4" t="n">
        <f aca="false">J154*0.35</f>
        <v>1102.5</v>
      </c>
    </row>
    <row r="155" customFormat="false" ht="15" hidden="false" customHeight="false" outlineLevel="0" collapsed="false">
      <c r="A155" s="2" t="s">
        <v>194</v>
      </c>
      <c r="B155" s="3" t="n">
        <v>45725</v>
      </c>
      <c r="C155" s="2" t="s">
        <v>13</v>
      </c>
      <c r="D155" s="2" t="s">
        <v>36</v>
      </c>
      <c r="E155" s="2" t="s">
        <v>29</v>
      </c>
      <c r="F155" s="2" t="s">
        <v>25</v>
      </c>
      <c r="G155" s="2" t="s">
        <v>21</v>
      </c>
      <c r="H155" s="2" t="n">
        <v>19</v>
      </c>
      <c r="I155" s="4" t="n">
        <v>750</v>
      </c>
      <c r="J155" s="4" t="n">
        <f aca="false">H155*I155*(1-K155)</f>
        <v>12825</v>
      </c>
      <c r="K155" s="5" t="n">
        <v>0.1</v>
      </c>
      <c r="L155" s="4" t="n">
        <f aca="false">J155*0.35</f>
        <v>4488.75</v>
      </c>
    </row>
    <row r="156" customFormat="false" ht="15" hidden="false" customHeight="false" outlineLevel="0" collapsed="false">
      <c r="A156" s="2" t="s">
        <v>195</v>
      </c>
      <c r="B156" s="3" t="n">
        <v>45725</v>
      </c>
      <c r="C156" s="2" t="s">
        <v>13</v>
      </c>
      <c r="D156" s="2" t="s">
        <v>36</v>
      </c>
      <c r="E156" s="2" t="s">
        <v>32</v>
      </c>
      <c r="F156" s="2" t="s">
        <v>20</v>
      </c>
      <c r="G156" s="2" t="s">
        <v>21</v>
      </c>
      <c r="H156" s="2" t="n">
        <v>6</v>
      </c>
      <c r="I156" s="4" t="n">
        <v>90</v>
      </c>
      <c r="J156" s="4" t="n">
        <f aca="false">H156*I156*(1-K156)</f>
        <v>513</v>
      </c>
      <c r="K156" s="5" t="n">
        <v>0.05</v>
      </c>
      <c r="L156" s="4" t="n">
        <f aca="false">J156*0.35</f>
        <v>179.55</v>
      </c>
    </row>
    <row r="157" customFormat="false" ht="15" hidden="false" customHeight="false" outlineLevel="0" collapsed="false">
      <c r="A157" s="2" t="s">
        <v>196</v>
      </c>
      <c r="B157" s="3" t="n">
        <v>45831</v>
      </c>
      <c r="C157" s="2" t="s">
        <v>42</v>
      </c>
      <c r="D157" s="2" t="s">
        <v>59</v>
      </c>
      <c r="E157" s="2" t="s">
        <v>53</v>
      </c>
      <c r="F157" s="2" t="s">
        <v>16</v>
      </c>
      <c r="G157" s="2" t="s">
        <v>17</v>
      </c>
      <c r="H157" s="2" t="n">
        <v>16</v>
      </c>
      <c r="I157" s="4" t="n">
        <v>8</v>
      </c>
      <c r="J157" s="4" t="n">
        <f aca="false">H157*I157*(1-K157)</f>
        <v>115.2</v>
      </c>
      <c r="K157" s="5" t="n">
        <v>0.1</v>
      </c>
      <c r="L157" s="4" t="n">
        <f aca="false">J157*0.35</f>
        <v>40.32</v>
      </c>
    </row>
    <row r="158" customFormat="false" ht="15" hidden="false" customHeight="false" outlineLevel="0" collapsed="false">
      <c r="A158" s="2" t="s">
        <v>197</v>
      </c>
      <c r="B158" s="3" t="n">
        <v>46004</v>
      </c>
      <c r="C158" s="2" t="s">
        <v>13</v>
      </c>
      <c r="D158" s="2" t="s">
        <v>36</v>
      </c>
      <c r="E158" s="2" t="s">
        <v>37</v>
      </c>
      <c r="F158" s="2" t="s">
        <v>33</v>
      </c>
      <c r="G158" s="2" t="s">
        <v>34</v>
      </c>
      <c r="H158" s="2" t="n">
        <v>25</v>
      </c>
      <c r="I158" s="4" t="n">
        <v>150</v>
      </c>
      <c r="J158" s="4" t="n">
        <f aca="false">H158*I158*(1-K158)</f>
        <v>3562.5</v>
      </c>
      <c r="K158" s="5" t="n">
        <v>0.05</v>
      </c>
      <c r="L158" s="4" t="n">
        <f aca="false">J158*0.35</f>
        <v>1246.875</v>
      </c>
    </row>
    <row r="159" customFormat="false" ht="15" hidden="false" customHeight="false" outlineLevel="0" collapsed="false">
      <c r="A159" s="2" t="s">
        <v>198</v>
      </c>
      <c r="B159" s="3" t="n">
        <v>45932</v>
      </c>
      <c r="C159" s="2" t="s">
        <v>27</v>
      </c>
      <c r="D159" s="2" t="s">
        <v>31</v>
      </c>
      <c r="E159" s="2" t="s">
        <v>37</v>
      </c>
      <c r="F159" s="2" t="s">
        <v>20</v>
      </c>
      <c r="G159" s="2" t="s">
        <v>21</v>
      </c>
      <c r="H159" s="2" t="n">
        <v>1</v>
      </c>
      <c r="I159" s="4" t="n">
        <v>90</v>
      </c>
      <c r="J159" s="4" t="n">
        <f aca="false">H159*I159*(1-K159)</f>
        <v>81</v>
      </c>
      <c r="K159" s="5" t="n">
        <v>0.1</v>
      </c>
      <c r="L159" s="4" t="n">
        <f aca="false">J159*0.35</f>
        <v>28.35</v>
      </c>
    </row>
    <row r="160" customFormat="false" ht="15" hidden="false" customHeight="false" outlineLevel="0" collapsed="false">
      <c r="A160" s="2" t="s">
        <v>199</v>
      </c>
      <c r="B160" s="3" t="n">
        <v>45984</v>
      </c>
      <c r="C160" s="2" t="s">
        <v>13</v>
      </c>
      <c r="D160" s="2" t="s">
        <v>36</v>
      </c>
      <c r="E160" s="2" t="s">
        <v>32</v>
      </c>
      <c r="F160" s="2" t="s">
        <v>16</v>
      </c>
      <c r="G160" s="2" t="s">
        <v>17</v>
      </c>
      <c r="H160" s="2" t="n">
        <v>19</v>
      </c>
      <c r="I160" s="4" t="n">
        <v>8</v>
      </c>
      <c r="J160" s="4" t="n">
        <f aca="false">H160*I160*(1-K160)</f>
        <v>129.2</v>
      </c>
      <c r="K160" s="5" t="n">
        <v>0.15</v>
      </c>
      <c r="L160" s="4" t="n">
        <f aca="false">J160*0.35</f>
        <v>45.22</v>
      </c>
    </row>
    <row r="161" customFormat="false" ht="15" hidden="false" customHeight="false" outlineLevel="0" collapsed="false">
      <c r="A161" s="2" t="s">
        <v>200</v>
      </c>
      <c r="B161" s="3" t="n">
        <v>45975</v>
      </c>
      <c r="C161" s="2" t="s">
        <v>42</v>
      </c>
      <c r="D161" s="2" t="s">
        <v>43</v>
      </c>
      <c r="E161" s="2" t="s">
        <v>15</v>
      </c>
      <c r="F161" s="2" t="s">
        <v>47</v>
      </c>
      <c r="G161" s="2" t="s">
        <v>34</v>
      </c>
      <c r="H161" s="2" t="n">
        <v>16</v>
      </c>
      <c r="I161" s="4" t="n">
        <v>400</v>
      </c>
      <c r="J161" s="4" t="n">
        <f aca="false">H161*I161*(1-K161)</f>
        <v>6400</v>
      </c>
      <c r="K161" s="5" t="n">
        <v>0</v>
      </c>
      <c r="L161" s="4" t="n">
        <f aca="false">J161*0.35</f>
        <v>2240</v>
      </c>
    </row>
    <row r="162" customFormat="false" ht="15" hidden="false" customHeight="false" outlineLevel="0" collapsed="false">
      <c r="A162" s="2" t="s">
        <v>201</v>
      </c>
      <c r="B162" s="3" t="n">
        <v>46016</v>
      </c>
      <c r="C162" s="2" t="s">
        <v>42</v>
      </c>
      <c r="D162" s="2" t="s">
        <v>43</v>
      </c>
      <c r="E162" s="2" t="s">
        <v>15</v>
      </c>
      <c r="F162" s="2" t="s">
        <v>40</v>
      </c>
      <c r="G162" s="2" t="s">
        <v>21</v>
      </c>
      <c r="H162" s="2" t="n">
        <v>21</v>
      </c>
      <c r="I162" s="4" t="n">
        <v>220</v>
      </c>
      <c r="J162" s="4" t="n">
        <f aca="false">H162*I162*(1-K162)</f>
        <v>3927</v>
      </c>
      <c r="K162" s="5" t="n">
        <v>0.15</v>
      </c>
      <c r="L162" s="4" t="n">
        <f aca="false">J162*0.35</f>
        <v>1374.45</v>
      </c>
    </row>
    <row r="163" customFormat="false" ht="15" hidden="false" customHeight="false" outlineLevel="0" collapsed="false">
      <c r="A163" s="2" t="s">
        <v>202</v>
      </c>
      <c r="B163" s="3" t="n">
        <v>45813</v>
      </c>
      <c r="C163" s="2" t="s">
        <v>42</v>
      </c>
      <c r="D163" s="2" t="s">
        <v>59</v>
      </c>
      <c r="E163" s="2" t="s">
        <v>37</v>
      </c>
      <c r="F163" s="2" t="s">
        <v>33</v>
      </c>
      <c r="G163" s="2" t="s">
        <v>34</v>
      </c>
      <c r="H163" s="2" t="n">
        <v>2</v>
      </c>
      <c r="I163" s="4" t="n">
        <v>150</v>
      </c>
      <c r="J163" s="4" t="n">
        <f aca="false">H163*I163*(1-K163)</f>
        <v>300</v>
      </c>
      <c r="K163" s="5" t="n">
        <v>0</v>
      </c>
      <c r="L163" s="4" t="n">
        <f aca="false">J163*0.35</f>
        <v>105</v>
      </c>
    </row>
    <row r="164" customFormat="false" ht="15" hidden="false" customHeight="false" outlineLevel="0" collapsed="false">
      <c r="A164" s="2" t="s">
        <v>203</v>
      </c>
      <c r="B164" s="3" t="n">
        <v>45856</v>
      </c>
      <c r="C164" s="2" t="s">
        <v>27</v>
      </c>
      <c r="D164" s="2" t="s">
        <v>28</v>
      </c>
      <c r="E164" s="2" t="s">
        <v>37</v>
      </c>
      <c r="F164" s="2" t="s">
        <v>47</v>
      </c>
      <c r="G164" s="2" t="s">
        <v>34</v>
      </c>
      <c r="H164" s="2" t="n">
        <v>18</v>
      </c>
      <c r="I164" s="4" t="n">
        <v>400</v>
      </c>
      <c r="J164" s="4" t="n">
        <f aca="false">H164*I164*(1-K164)</f>
        <v>6840</v>
      </c>
      <c r="K164" s="5" t="n">
        <v>0.05</v>
      </c>
      <c r="L164" s="4" t="n">
        <f aca="false">J164*0.35</f>
        <v>2394</v>
      </c>
    </row>
    <row r="165" customFormat="false" ht="15" hidden="false" customHeight="false" outlineLevel="0" collapsed="false">
      <c r="A165" s="2" t="s">
        <v>204</v>
      </c>
      <c r="B165" s="3" t="n">
        <v>45870</v>
      </c>
      <c r="C165" s="2" t="s">
        <v>27</v>
      </c>
      <c r="D165" s="2" t="s">
        <v>31</v>
      </c>
      <c r="E165" s="2" t="s">
        <v>15</v>
      </c>
      <c r="F165" s="2" t="s">
        <v>20</v>
      </c>
      <c r="G165" s="2" t="s">
        <v>21</v>
      </c>
      <c r="H165" s="2" t="n">
        <v>19</v>
      </c>
      <c r="I165" s="4" t="n">
        <v>90</v>
      </c>
      <c r="J165" s="4" t="n">
        <f aca="false">H165*I165*(1-K165)</f>
        <v>1624.5</v>
      </c>
      <c r="K165" s="5" t="n">
        <v>0.05</v>
      </c>
      <c r="L165" s="4" t="n">
        <f aca="false">J165*0.35</f>
        <v>568.575</v>
      </c>
    </row>
    <row r="166" customFormat="false" ht="15" hidden="false" customHeight="false" outlineLevel="0" collapsed="false">
      <c r="A166" s="2" t="s">
        <v>205</v>
      </c>
      <c r="B166" s="3" t="n">
        <v>46011</v>
      </c>
      <c r="C166" s="2" t="s">
        <v>13</v>
      </c>
      <c r="D166" s="2" t="s">
        <v>36</v>
      </c>
      <c r="E166" s="2" t="s">
        <v>19</v>
      </c>
      <c r="F166" s="2" t="s">
        <v>20</v>
      </c>
      <c r="G166" s="2" t="s">
        <v>21</v>
      </c>
      <c r="H166" s="2" t="n">
        <v>9</v>
      </c>
      <c r="I166" s="4" t="n">
        <v>90</v>
      </c>
      <c r="J166" s="4" t="n">
        <f aca="false">H166*I166*(1-K166)</f>
        <v>810</v>
      </c>
      <c r="K166" s="5" t="n">
        <v>0</v>
      </c>
      <c r="L166" s="4" t="n">
        <f aca="false">J166*0.35</f>
        <v>283.5</v>
      </c>
    </row>
    <row r="167" customFormat="false" ht="15" hidden="false" customHeight="false" outlineLevel="0" collapsed="false">
      <c r="A167" s="2" t="s">
        <v>206</v>
      </c>
      <c r="B167" s="3" t="n">
        <v>45708</v>
      </c>
      <c r="C167" s="2" t="s">
        <v>42</v>
      </c>
      <c r="D167" s="2" t="s">
        <v>43</v>
      </c>
      <c r="E167" s="2" t="s">
        <v>29</v>
      </c>
      <c r="F167" s="2" t="s">
        <v>51</v>
      </c>
      <c r="G167" s="2" t="s">
        <v>34</v>
      </c>
      <c r="H167" s="2" t="n">
        <v>8</v>
      </c>
      <c r="I167" s="4" t="n">
        <v>130</v>
      </c>
      <c r="J167" s="4" t="n">
        <f aca="false">H167*I167*(1-K167)</f>
        <v>936</v>
      </c>
      <c r="K167" s="5" t="n">
        <v>0.1</v>
      </c>
      <c r="L167" s="4" t="n">
        <f aca="false">J167*0.35</f>
        <v>327.6</v>
      </c>
    </row>
    <row r="168" customFormat="false" ht="15" hidden="false" customHeight="false" outlineLevel="0" collapsed="false">
      <c r="A168" s="2" t="s">
        <v>207</v>
      </c>
      <c r="B168" s="3" t="n">
        <v>45720</v>
      </c>
      <c r="C168" s="2" t="s">
        <v>42</v>
      </c>
      <c r="D168" s="2" t="s">
        <v>59</v>
      </c>
      <c r="E168" s="2" t="s">
        <v>37</v>
      </c>
      <c r="F168" s="2" t="s">
        <v>20</v>
      </c>
      <c r="G168" s="2" t="s">
        <v>21</v>
      </c>
      <c r="H168" s="2" t="n">
        <v>9</v>
      </c>
      <c r="I168" s="4" t="n">
        <v>90</v>
      </c>
      <c r="J168" s="4" t="n">
        <f aca="false">H168*I168*(1-K168)</f>
        <v>769.5</v>
      </c>
      <c r="K168" s="5" t="n">
        <v>0.05</v>
      </c>
      <c r="L168" s="4" t="n">
        <f aca="false">J168*0.35</f>
        <v>269.325</v>
      </c>
    </row>
    <row r="169" customFormat="false" ht="15" hidden="false" customHeight="false" outlineLevel="0" collapsed="false">
      <c r="A169" s="2" t="s">
        <v>208</v>
      </c>
      <c r="B169" s="3" t="n">
        <v>45683</v>
      </c>
      <c r="C169" s="2" t="s">
        <v>27</v>
      </c>
      <c r="D169" s="2" t="s">
        <v>28</v>
      </c>
      <c r="E169" s="2" t="s">
        <v>15</v>
      </c>
      <c r="F169" s="2" t="s">
        <v>47</v>
      </c>
      <c r="G169" s="2" t="s">
        <v>34</v>
      </c>
      <c r="H169" s="2" t="n">
        <v>21</v>
      </c>
      <c r="I169" s="4" t="n">
        <v>400</v>
      </c>
      <c r="J169" s="4" t="n">
        <f aca="false">H169*I169*(1-K169)</f>
        <v>8400</v>
      </c>
      <c r="K169" s="5" t="n">
        <v>0</v>
      </c>
      <c r="L169" s="4" t="n">
        <f aca="false">J169*0.35</f>
        <v>2940</v>
      </c>
    </row>
    <row r="170" customFormat="false" ht="15" hidden="false" customHeight="false" outlineLevel="0" collapsed="false">
      <c r="A170" s="2" t="s">
        <v>209</v>
      </c>
      <c r="B170" s="3" t="n">
        <v>45958</v>
      </c>
      <c r="C170" s="2" t="s">
        <v>42</v>
      </c>
      <c r="D170" s="2" t="s">
        <v>43</v>
      </c>
      <c r="E170" s="2" t="s">
        <v>53</v>
      </c>
      <c r="F170" s="2" t="s">
        <v>47</v>
      </c>
      <c r="G170" s="2" t="s">
        <v>34</v>
      </c>
      <c r="H170" s="2" t="n">
        <v>3</v>
      </c>
      <c r="I170" s="4" t="n">
        <v>400</v>
      </c>
      <c r="J170" s="4" t="n">
        <f aca="false">H170*I170*(1-K170)</f>
        <v>1140</v>
      </c>
      <c r="K170" s="5" t="n">
        <v>0.05</v>
      </c>
      <c r="L170" s="4" t="n">
        <f aca="false">J170*0.35</f>
        <v>399</v>
      </c>
    </row>
    <row r="171" customFormat="false" ht="15" hidden="false" customHeight="false" outlineLevel="0" collapsed="false">
      <c r="A171" s="2" t="s">
        <v>210</v>
      </c>
      <c r="B171" s="3" t="n">
        <v>45799</v>
      </c>
      <c r="C171" s="2" t="s">
        <v>23</v>
      </c>
      <c r="D171" s="2" t="s">
        <v>24</v>
      </c>
      <c r="E171" s="2" t="s">
        <v>32</v>
      </c>
      <c r="F171" s="2" t="s">
        <v>33</v>
      </c>
      <c r="G171" s="2" t="s">
        <v>34</v>
      </c>
      <c r="H171" s="2" t="n">
        <v>20</v>
      </c>
      <c r="I171" s="4" t="n">
        <v>150</v>
      </c>
      <c r="J171" s="4" t="n">
        <f aca="false">H171*I171*(1-K171)</f>
        <v>3000</v>
      </c>
      <c r="K171" s="5" t="n">
        <v>0</v>
      </c>
      <c r="L171" s="4" t="n">
        <f aca="false">J171*0.35</f>
        <v>1050</v>
      </c>
    </row>
    <row r="172" customFormat="false" ht="15" hidden="false" customHeight="false" outlineLevel="0" collapsed="false">
      <c r="A172" s="2" t="s">
        <v>211</v>
      </c>
      <c r="B172" s="3" t="n">
        <v>45996</v>
      </c>
      <c r="C172" s="2" t="s">
        <v>23</v>
      </c>
      <c r="D172" s="2" t="s">
        <v>24</v>
      </c>
      <c r="E172" s="2" t="s">
        <v>19</v>
      </c>
      <c r="F172" s="2" t="s">
        <v>16</v>
      </c>
      <c r="G172" s="2" t="s">
        <v>17</v>
      </c>
      <c r="H172" s="2" t="n">
        <v>6</v>
      </c>
      <c r="I172" s="4" t="n">
        <v>8</v>
      </c>
      <c r="J172" s="4" t="n">
        <f aca="false">H172*I172*(1-K172)</f>
        <v>48</v>
      </c>
      <c r="K172" s="5" t="n">
        <v>0</v>
      </c>
      <c r="L172" s="4" t="n">
        <f aca="false">J172*0.35</f>
        <v>16.8</v>
      </c>
    </row>
    <row r="173" customFormat="false" ht="15" hidden="false" customHeight="false" outlineLevel="0" collapsed="false">
      <c r="A173" s="2" t="s">
        <v>212</v>
      </c>
      <c r="B173" s="3" t="n">
        <v>45666</v>
      </c>
      <c r="C173" s="2" t="s">
        <v>13</v>
      </c>
      <c r="D173" s="2" t="s">
        <v>14</v>
      </c>
      <c r="E173" s="2" t="s">
        <v>37</v>
      </c>
      <c r="F173" s="2" t="s">
        <v>38</v>
      </c>
      <c r="G173" s="2" t="s">
        <v>17</v>
      </c>
      <c r="H173" s="2" t="n">
        <v>8</v>
      </c>
      <c r="I173" s="4" t="n">
        <v>5</v>
      </c>
      <c r="J173" s="4" t="n">
        <f aca="false">H173*I173*(1-K173)</f>
        <v>36</v>
      </c>
      <c r="K173" s="5" t="n">
        <v>0.1</v>
      </c>
      <c r="L173" s="4" t="n">
        <f aca="false">J173*0.35</f>
        <v>12.6</v>
      </c>
    </row>
    <row r="174" customFormat="false" ht="15" hidden="false" customHeight="false" outlineLevel="0" collapsed="false">
      <c r="A174" s="2" t="s">
        <v>213</v>
      </c>
      <c r="B174" s="3" t="n">
        <v>45927</v>
      </c>
      <c r="C174" s="2" t="s">
        <v>23</v>
      </c>
      <c r="D174" s="2" t="s">
        <v>69</v>
      </c>
      <c r="E174" s="2" t="s">
        <v>37</v>
      </c>
      <c r="F174" s="2" t="s">
        <v>33</v>
      </c>
      <c r="G174" s="2" t="s">
        <v>34</v>
      </c>
      <c r="H174" s="2" t="n">
        <v>24</v>
      </c>
      <c r="I174" s="4" t="n">
        <v>150</v>
      </c>
      <c r="J174" s="4" t="n">
        <f aca="false">H174*I174*(1-K174)</f>
        <v>3060</v>
      </c>
      <c r="K174" s="5" t="n">
        <v>0.15</v>
      </c>
      <c r="L174" s="4" t="n">
        <f aca="false">J174*0.35</f>
        <v>1071</v>
      </c>
    </row>
    <row r="175" customFormat="false" ht="15" hidden="false" customHeight="false" outlineLevel="0" collapsed="false">
      <c r="A175" s="2" t="s">
        <v>214</v>
      </c>
      <c r="B175" s="3" t="n">
        <v>45920</v>
      </c>
      <c r="C175" s="2" t="s">
        <v>13</v>
      </c>
      <c r="D175" s="2" t="s">
        <v>14</v>
      </c>
      <c r="E175" s="2" t="s">
        <v>29</v>
      </c>
      <c r="F175" s="2" t="s">
        <v>51</v>
      </c>
      <c r="G175" s="2" t="s">
        <v>34</v>
      </c>
      <c r="H175" s="2" t="n">
        <v>25</v>
      </c>
      <c r="I175" s="4" t="n">
        <v>130</v>
      </c>
      <c r="J175" s="4" t="n">
        <f aca="false">H175*I175*(1-K175)</f>
        <v>2925</v>
      </c>
      <c r="K175" s="5" t="n">
        <v>0.1</v>
      </c>
      <c r="L175" s="4" t="n">
        <f aca="false">J175*0.35</f>
        <v>1023.75</v>
      </c>
    </row>
    <row r="176" customFormat="false" ht="15" hidden="false" customHeight="false" outlineLevel="0" collapsed="false">
      <c r="A176" s="2" t="s">
        <v>215</v>
      </c>
      <c r="B176" s="3" t="n">
        <v>45995</v>
      </c>
      <c r="C176" s="2" t="s">
        <v>13</v>
      </c>
      <c r="D176" s="2" t="s">
        <v>36</v>
      </c>
      <c r="E176" s="2" t="s">
        <v>19</v>
      </c>
      <c r="F176" s="2" t="s">
        <v>47</v>
      </c>
      <c r="G176" s="2" t="s">
        <v>34</v>
      </c>
      <c r="H176" s="2" t="n">
        <v>20</v>
      </c>
      <c r="I176" s="4" t="n">
        <v>400</v>
      </c>
      <c r="J176" s="4" t="n">
        <f aca="false">H176*I176*(1-K176)</f>
        <v>8000</v>
      </c>
      <c r="K176" s="5" t="n">
        <v>0</v>
      </c>
      <c r="L176" s="4" t="n">
        <f aca="false">J176*0.35</f>
        <v>2800</v>
      </c>
    </row>
    <row r="177" customFormat="false" ht="15" hidden="false" customHeight="false" outlineLevel="0" collapsed="false">
      <c r="A177" s="2" t="s">
        <v>216</v>
      </c>
      <c r="B177" s="3" t="n">
        <v>45863</v>
      </c>
      <c r="C177" s="2" t="s">
        <v>42</v>
      </c>
      <c r="D177" s="2" t="s">
        <v>59</v>
      </c>
      <c r="E177" s="2" t="s">
        <v>15</v>
      </c>
      <c r="F177" s="2" t="s">
        <v>25</v>
      </c>
      <c r="G177" s="2" t="s">
        <v>21</v>
      </c>
      <c r="H177" s="2" t="n">
        <v>2</v>
      </c>
      <c r="I177" s="4" t="n">
        <v>750</v>
      </c>
      <c r="J177" s="4" t="n">
        <f aca="false">H177*I177*(1-K177)</f>
        <v>1275</v>
      </c>
      <c r="K177" s="5" t="n">
        <v>0.15</v>
      </c>
      <c r="L177" s="4" t="n">
        <f aca="false">J177*0.35</f>
        <v>446.25</v>
      </c>
    </row>
    <row r="178" customFormat="false" ht="15" hidden="false" customHeight="false" outlineLevel="0" collapsed="false">
      <c r="A178" s="2" t="s">
        <v>217</v>
      </c>
      <c r="B178" s="3" t="n">
        <v>45822</v>
      </c>
      <c r="C178" s="2" t="s">
        <v>27</v>
      </c>
      <c r="D178" s="2" t="s">
        <v>28</v>
      </c>
      <c r="E178" s="2" t="s">
        <v>29</v>
      </c>
      <c r="F178" s="2" t="s">
        <v>51</v>
      </c>
      <c r="G178" s="2" t="s">
        <v>34</v>
      </c>
      <c r="H178" s="2" t="n">
        <v>3</v>
      </c>
      <c r="I178" s="4" t="n">
        <v>130</v>
      </c>
      <c r="J178" s="4" t="n">
        <f aca="false">H178*I178*(1-K178)</f>
        <v>390</v>
      </c>
      <c r="K178" s="5" t="n">
        <v>0</v>
      </c>
      <c r="L178" s="4" t="n">
        <f aca="false">J178*0.35</f>
        <v>136.5</v>
      </c>
    </row>
    <row r="179" customFormat="false" ht="15" hidden="false" customHeight="false" outlineLevel="0" collapsed="false">
      <c r="A179" s="2" t="s">
        <v>218</v>
      </c>
      <c r="B179" s="3" t="n">
        <v>45853</v>
      </c>
      <c r="C179" s="2" t="s">
        <v>23</v>
      </c>
      <c r="D179" s="2" t="s">
        <v>24</v>
      </c>
      <c r="E179" s="2" t="s">
        <v>53</v>
      </c>
      <c r="F179" s="2" t="s">
        <v>16</v>
      </c>
      <c r="G179" s="2" t="s">
        <v>17</v>
      </c>
      <c r="H179" s="2" t="n">
        <v>20</v>
      </c>
      <c r="I179" s="4" t="n">
        <v>8</v>
      </c>
      <c r="J179" s="4" t="n">
        <f aca="false">H179*I179*(1-K179)</f>
        <v>144</v>
      </c>
      <c r="K179" s="5" t="n">
        <v>0.1</v>
      </c>
      <c r="L179" s="4" t="n">
        <f aca="false">J179*0.35</f>
        <v>50.4</v>
      </c>
    </row>
    <row r="180" customFormat="false" ht="15" hidden="false" customHeight="false" outlineLevel="0" collapsed="false">
      <c r="A180" s="2" t="s">
        <v>219</v>
      </c>
      <c r="B180" s="3" t="n">
        <v>45993</v>
      </c>
      <c r="C180" s="2" t="s">
        <v>42</v>
      </c>
      <c r="D180" s="2" t="s">
        <v>59</v>
      </c>
      <c r="E180" s="2" t="s">
        <v>19</v>
      </c>
      <c r="F180" s="2" t="s">
        <v>20</v>
      </c>
      <c r="G180" s="2" t="s">
        <v>21</v>
      </c>
      <c r="H180" s="2" t="n">
        <v>4</v>
      </c>
      <c r="I180" s="4" t="n">
        <v>90</v>
      </c>
      <c r="J180" s="4" t="n">
        <f aca="false">H180*I180*(1-K180)</f>
        <v>360</v>
      </c>
      <c r="K180" s="5" t="n">
        <v>0</v>
      </c>
      <c r="L180" s="4" t="n">
        <f aca="false">J180*0.35</f>
        <v>126</v>
      </c>
    </row>
    <row r="181" customFormat="false" ht="15" hidden="false" customHeight="false" outlineLevel="0" collapsed="false">
      <c r="A181" s="2" t="s">
        <v>220</v>
      </c>
      <c r="B181" s="3" t="n">
        <v>45890</v>
      </c>
      <c r="C181" s="2" t="s">
        <v>23</v>
      </c>
      <c r="D181" s="2" t="s">
        <v>69</v>
      </c>
      <c r="E181" s="2" t="s">
        <v>29</v>
      </c>
      <c r="F181" s="2" t="s">
        <v>47</v>
      </c>
      <c r="G181" s="2" t="s">
        <v>34</v>
      </c>
      <c r="H181" s="2" t="n">
        <v>14</v>
      </c>
      <c r="I181" s="4" t="n">
        <v>400</v>
      </c>
      <c r="J181" s="4" t="n">
        <f aca="false">H181*I181*(1-K181)</f>
        <v>5040</v>
      </c>
      <c r="K181" s="5" t="n">
        <v>0.1</v>
      </c>
      <c r="L181" s="4" t="n">
        <f aca="false">J181*0.35</f>
        <v>1764</v>
      </c>
    </row>
    <row r="182" customFormat="false" ht="15" hidden="false" customHeight="false" outlineLevel="0" collapsed="false">
      <c r="A182" s="2" t="s">
        <v>221</v>
      </c>
      <c r="B182" s="3" t="n">
        <v>45818</v>
      </c>
      <c r="C182" s="2" t="s">
        <v>27</v>
      </c>
      <c r="D182" s="2" t="s">
        <v>31</v>
      </c>
      <c r="E182" s="2" t="s">
        <v>15</v>
      </c>
      <c r="F182" s="2" t="s">
        <v>40</v>
      </c>
      <c r="G182" s="2" t="s">
        <v>21</v>
      </c>
      <c r="H182" s="2" t="n">
        <v>11</v>
      </c>
      <c r="I182" s="4" t="n">
        <v>220</v>
      </c>
      <c r="J182" s="4" t="n">
        <f aca="false">H182*I182*(1-K182)</f>
        <v>2057</v>
      </c>
      <c r="K182" s="5" t="n">
        <v>0.15</v>
      </c>
      <c r="L182" s="4" t="n">
        <f aca="false">J182*0.35</f>
        <v>719.95</v>
      </c>
    </row>
    <row r="183" customFormat="false" ht="15" hidden="false" customHeight="false" outlineLevel="0" collapsed="false">
      <c r="A183" s="2" t="s">
        <v>222</v>
      </c>
      <c r="B183" s="3" t="n">
        <v>45701</v>
      </c>
      <c r="C183" s="2" t="s">
        <v>42</v>
      </c>
      <c r="D183" s="2" t="s">
        <v>59</v>
      </c>
      <c r="E183" s="2" t="s">
        <v>53</v>
      </c>
      <c r="F183" s="2" t="s">
        <v>51</v>
      </c>
      <c r="G183" s="2" t="s">
        <v>34</v>
      </c>
      <c r="H183" s="2" t="n">
        <v>3</v>
      </c>
      <c r="I183" s="4" t="n">
        <v>130</v>
      </c>
      <c r="J183" s="4" t="n">
        <f aca="false">H183*I183*(1-K183)</f>
        <v>390</v>
      </c>
      <c r="K183" s="5" t="n">
        <v>0</v>
      </c>
      <c r="L183" s="4" t="n">
        <f aca="false">J183*0.35</f>
        <v>136.5</v>
      </c>
    </row>
    <row r="184" customFormat="false" ht="15" hidden="false" customHeight="false" outlineLevel="0" collapsed="false">
      <c r="A184" s="2" t="s">
        <v>223</v>
      </c>
      <c r="B184" s="3" t="n">
        <v>45958</v>
      </c>
      <c r="C184" s="2" t="s">
        <v>13</v>
      </c>
      <c r="D184" s="2" t="s">
        <v>36</v>
      </c>
      <c r="E184" s="2" t="s">
        <v>37</v>
      </c>
      <c r="F184" s="2" t="s">
        <v>38</v>
      </c>
      <c r="G184" s="2" t="s">
        <v>17</v>
      </c>
      <c r="H184" s="2" t="n">
        <v>5</v>
      </c>
      <c r="I184" s="4" t="n">
        <v>5</v>
      </c>
      <c r="J184" s="4" t="n">
        <f aca="false">H184*I184*(1-K184)</f>
        <v>25</v>
      </c>
      <c r="K184" s="5" t="n">
        <v>0</v>
      </c>
      <c r="L184" s="4" t="n">
        <f aca="false">J184*0.35</f>
        <v>8.75</v>
      </c>
    </row>
    <row r="185" customFormat="false" ht="15" hidden="false" customHeight="false" outlineLevel="0" collapsed="false">
      <c r="A185" s="2" t="s">
        <v>224</v>
      </c>
      <c r="B185" s="3" t="n">
        <v>45684</v>
      </c>
      <c r="C185" s="2" t="s">
        <v>42</v>
      </c>
      <c r="D185" s="2" t="s">
        <v>43</v>
      </c>
      <c r="E185" s="2" t="s">
        <v>29</v>
      </c>
      <c r="F185" s="2" t="s">
        <v>38</v>
      </c>
      <c r="G185" s="2" t="s">
        <v>17</v>
      </c>
      <c r="H185" s="2" t="n">
        <v>22</v>
      </c>
      <c r="I185" s="4" t="n">
        <v>5</v>
      </c>
      <c r="J185" s="4" t="n">
        <f aca="false">H185*I185*(1-K185)</f>
        <v>93.5</v>
      </c>
      <c r="K185" s="5" t="n">
        <v>0.15</v>
      </c>
      <c r="L185" s="4" t="n">
        <f aca="false">J185*0.35</f>
        <v>32.725</v>
      </c>
    </row>
    <row r="186" customFormat="false" ht="15" hidden="false" customHeight="false" outlineLevel="0" collapsed="false">
      <c r="A186" s="2" t="s">
        <v>225</v>
      </c>
      <c r="B186" s="3" t="n">
        <v>45737</v>
      </c>
      <c r="C186" s="2" t="s">
        <v>42</v>
      </c>
      <c r="D186" s="2" t="s">
        <v>59</v>
      </c>
      <c r="E186" s="2" t="s">
        <v>32</v>
      </c>
      <c r="F186" s="2" t="s">
        <v>40</v>
      </c>
      <c r="G186" s="2" t="s">
        <v>21</v>
      </c>
      <c r="H186" s="2" t="n">
        <v>19</v>
      </c>
      <c r="I186" s="4" t="n">
        <v>220</v>
      </c>
      <c r="J186" s="4" t="n">
        <f aca="false">H186*I186*(1-K186)</f>
        <v>3971</v>
      </c>
      <c r="K186" s="5" t="n">
        <v>0.05</v>
      </c>
      <c r="L186" s="4" t="n">
        <f aca="false">J186*0.35</f>
        <v>1389.85</v>
      </c>
    </row>
    <row r="187" customFormat="false" ht="15" hidden="false" customHeight="false" outlineLevel="0" collapsed="false">
      <c r="A187" s="2" t="s">
        <v>226</v>
      </c>
      <c r="B187" s="3" t="n">
        <v>45716</v>
      </c>
      <c r="C187" s="2" t="s">
        <v>27</v>
      </c>
      <c r="D187" s="2" t="s">
        <v>28</v>
      </c>
      <c r="E187" s="2" t="s">
        <v>37</v>
      </c>
      <c r="F187" s="2" t="s">
        <v>38</v>
      </c>
      <c r="G187" s="2" t="s">
        <v>17</v>
      </c>
      <c r="H187" s="2" t="n">
        <v>18</v>
      </c>
      <c r="I187" s="4" t="n">
        <v>5</v>
      </c>
      <c r="J187" s="4" t="n">
        <f aca="false">H187*I187*(1-K187)</f>
        <v>81</v>
      </c>
      <c r="K187" s="5" t="n">
        <v>0.1</v>
      </c>
      <c r="L187" s="4" t="n">
        <f aca="false">J187*0.35</f>
        <v>28.35</v>
      </c>
    </row>
    <row r="188" customFormat="false" ht="15" hidden="false" customHeight="false" outlineLevel="0" collapsed="false">
      <c r="A188" s="2" t="s">
        <v>227</v>
      </c>
      <c r="B188" s="3" t="n">
        <v>45672</v>
      </c>
      <c r="C188" s="2" t="s">
        <v>42</v>
      </c>
      <c r="D188" s="2" t="s">
        <v>43</v>
      </c>
      <c r="E188" s="2" t="s">
        <v>29</v>
      </c>
      <c r="F188" s="2" t="s">
        <v>25</v>
      </c>
      <c r="G188" s="2" t="s">
        <v>21</v>
      </c>
      <c r="H188" s="2" t="n">
        <v>20</v>
      </c>
      <c r="I188" s="4" t="n">
        <v>750</v>
      </c>
      <c r="J188" s="4" t="n">
        <f aca="false">H188*I188*(1-K188)</f>
        <v>13500</v>
      </c>
      <c r="K188" s="5" t="n">
        <v>0.1</v>
      </c>
      <c r="L188" s="4" t="n">
        <f aca="false">J188*0.35</f>
        <v>4725</v>
      </c>
    </row>
    <row r="189" customFormat="false" ht="15" hidden="false" customHeight="false" outlineLevel="0" collapsed="false">
      <c r="A189" s="2" t="s">
        <v>228</v>
      </c>
      <c r="B189" s="3" t="n">
        <v>45661</v>
      </c>
      <c r="C189" s="2" t="s">
        <v>23</v>
      </c>
      <c r="D189" s="2" t="s">
        <v>69</v>
      </c>
      <c r="E189" s="2" t="s">
        <v>15</v>
      </c>
      <c r="F189" s="2" t="s">
        <v>16</v>
      </c>
      <c r="G189" s="2" t="s">
        <v>17</v>
      </c>
      <c r="H189" s="2" t="n">
        <v>11</v>
      </c>
      <c r="I189" s="4" t="n">
        <v>8</v>
      </c>
      <c r="J189" s="4" t="n">
        <f aca="false">H189*I189*(1-K189)</f>
        <v>79.2</v>
      </c>
      <c r="K189" s="5" t="n">
        <v>0.1</v>
      </c>
      <c r="L189" s="4" t="n">
        <f aca="false">J189*0.35</f>
        <v>27.72</v>
      </c>
    </row>
    <row r="190" customFormat="false" ht="15" hidden="false" customHeight="false" outlineLevel="0" collapsed="false">
      <c r="A190" s="2" t="s">
        <v>229</v>
      </c>
      <c r="B190" s="3" t="n">
        <v>45982</v>
      </c>
      <c r="C190" s="2" t="s">
        <v>23</v>
      </c>
      <c r="D190" s="2" t="s">
        <v>24</v>
      </c>
      <c r="E190" s="2" t="s">
        <v>19</v>
      </c>
      <c r="F190" s="2" t="s">
        <v>20</v>
      </c>
      <c r="G190" s="2" t="s">
        <v>21</v>
      </c>
      <c r="H190" s="2" t="n">
        <v>3</v>
      </c>
      <c r="I190" s="4" t="n">
        <v>90</v>
      </c>
      <c r="J190" s="4" t="n">
        <f aca="false">H190*I190*(1-K190)</f>
        <v>256.5</v>
      </c>
      <c r="K190" s="5" t="n">
        <v>0.05</v>
      </c>
      <c r="L190" s="4" t="n">
        <f aca="false">J190*0.35</f>
        <v>89.775</v>
      </c>
    </row>
    <row r="191" customFormat="false" ht="15" hidden="false" customHeight="false" outlineLevel="0" collapsed="false">
      <c r="A191" s="2" t="s">
        <v>230</v>
      </c>
      <c r="B191" s="3" t="n">
        <v>45890</v>
      </c>
      <c r="C191" s="2" t="s">
        <v>13</v>
      </c>
      <c r="D191" s="2" t="s">
        <v>14</v>
      </c>
      <c r="E191" s="2" t="s">
        <v>15</v>
      </c>
      <c r="F191" s="2" t="s">
        <v>47</v>
      </c>
      <c r="G191" s="2" t="s">
        <v>34</v>
      </c>
      <c r="H191" s="2" t="n">
        <v>13</v>
      </c>
      <c r="I191" s="4" t="n">
        <v>400</v>
      </c>
      <c r="J191" s="4" t="n">
        <f aca="false">H191*I191*(1-K191)</f>
        <v>4420</v>
      </c>
      <c r="K191" s="5" t="n">
        <v>0.15</v>
      </c>
      <c r="L191" s="4" t="n">
        <f aca="false">J191*0.35</f>
        <v>1547</v>
      </c>
    </row>
    <row r="192" customFormat="false" ht="15" hidden="false" customHeight="false" outlineLevel="0" collapsed="false">
      <c r="A192" s="2" t="s">
        <v>231</v>
      </c>
      <c r="B192" s="3" t="n">
        <v>45948</v>
      </c>
      <c r="C192" s="2" t="s">
        <v>42</v>
      </c>
      <c r="D192" s="2" t="s">
        <v>43</v>
      </c>
      <c r="E192" s="2" t="s">
        <v>32</v>
      </c>
      <c r="F192" s="2" t="s">
        <v>16</v>
      </c>
      <c r="G192" s="2" t="s">
        <v>17</v>
      </c>
      <c r="H192" s="2" t="n">
        <v>24</v>
      </c>
      <c r="I192" s="4" t="n">
        <v>8</v>
      </c>
      <c r="J192" s="4" t="n">
        <f aca="false">H192*I192*(1-K192)</f>
        <v>172.8</v>
      </c>
      <c r="K192" s="5" t="n">
        <v>0.1</v>
      </c>
      <c r="L192" s="4" t="n">
        <f aca="false">J192*0.35</f>
        <v>60.48</v>
      </c>
    </row>
    <row r="193" customFormat="false" ht="15" hidden="false" customHeight="false" outlineLevel="0" collapsed="false">
      <c r="A193" s="2" t="s">
        <v>232</v>
      </c>
      <c r="B193" s="3" t="n">
        <v>46003</v>
      </c>
      <c r="C193" s="2" t="s">
        <v>13</v>
      </c>
      <c r="D193" s="2" t="s">
        <v>14</v>
      </c>
      <c r="E193" s="2" t="s">
        <v>53</v>
      </c>
      <c r="F193" s="2" t="s">
        <v>33</v>
      </c>
      <c r="G193" s="2" t="s">
        <v>34</v>
      </c>
      <c r="H193" s="2" t="n">
        <v>25</v>
      </c>
      <c r="I193" s="4" t="n">
        <v>150</v>
      </c>
      <c r="J193" s="4" t="n">
        <f aca="false">H193*I193*(1-K193)</f>
        <v>3750</v>
      </c>
      <c r="K193" s="5" t="n">
        <v>0</v>
      </c>
      <c r="L193" s="4" t="n">
        <f aca="false">J193*0.35</f>
        <v>1312.5</v>
      </c>
    </row>
    <row r="194" customFormat="false" ht="15" hidden="false" customHeight="false" outlineLevel="0" collapsed="false">
      <c r="A194" s="2" t="s">
        <v>233</v>
      </c>
      <c r="B194" s="3" t="n">
        <v>45870</v>
      </c>
      <c r="C194" s="2" t="s">
        <v>13</v>
      </c>
      <c r="D194" s="2" t="s">
        <v>36</v>
      </c>
      <c r="E194" s="2" t="s">
        <v>29</v>
      </c>
      <c r="F194" s="2" t="s">
        <v>20</v>
      </c>
      <c r="G194" s="2" t="s">
        <v>21</v>
      </c>
      <c r="H194" s="2" t="n">
        <v>16</v>
      </c>
      <c r="I194" s="4" t="n">
        <v>90</v>
      </c>
      <c r="J194" s="4" t="n">
        <f aca="false">H194*I194*(1-K194)</f>
        <v>1224</v>
      </c>
      <c r="K194" s="5" t="n">
        <v>0.15</v>
      </c>
      <c r="L194" s="4" t="n">
        <f aca="false">J194*0.35</f>
        <v>428.4</v>
      </c>
    </row>
    <row r="195" customFormat="false" ht="15" hidden="false" customHeight="false" outlineLevel="0" collapsed="false">
      <c r="A195" s="2" t="s">
        <v>234</v>
      </c>
      <c r="B195" s="3" t="n">
        <v>45714</v>
      </c>
      <c r="C195" s="2" t="s">
        <v>42</v>
      </c>
      <c r="D195" s="2" t="s">
        <v>43</v>
      </c>
      <c r="E195" s="2" t="s">
        <v>19</v>
      </c>
      <c r="F195" s="2" t="s">
        <v>40</v>
      </c>
      <c r="G195" s="2" t="s">
        <v>21</v>
      </c>
      <c r="H195" s="2" t="n">
        <v>12</v>
      </c>
      <c r="I195" s="4" t="n">
        <v>220</v>
      </c>
      <c r="J195" s="4" t="n">
        <f aca="false">H195*I195*(1-K195)</f>
        <v>2244</v>
      </c>
      <c r="K195" s="5" t="n">
        <v>0.15</v>
      </c>
      <c r="L195" s="4" t="n">
        <f aca="false">J195*0.35</f>
        <v>785.4</v>
      </c>
    </row>
    <row r="196" customFormat="false" ht="15" hidden="false" customHeight="false" outlineLevel="0" collapsed="false">
      <c r="A196" s="2" t="s">
        <v>235</v>
      </c>
      <c r="B196" s="3" t="n">
        <v>45860</v>
      </c>
      <c r="C196" s="2" t="s">
        <v>42</v>
      </c>
      <c r="D196" s="2" t="s">
        <v>59</v>
      </c>
      <c r="E196" s="2" t="s">
        <v>19</v>
      </c>
      <c r="F196" s="2" t="s">
        <v>16</v>
      </c>
      <c r="G196" s="2" t="s">
        <v>17</v>
      </c>
      <c r="H196" s="2" t="n">
        <v>2</v>
      </c>
      <c r="I196" s="4" t="n">
        <v>8</v>
      </c>
      <c r="J196" s="4" t="n">
        <f aca="false">H196*I196*(1-K196)</f>
        <v>15.2</v>
      </c>
      <c r="K196" s="5" t="n">
        <v>0.05</v>
      </c>
      <c r="L196" s="4" t="n">
        <f aca="false">J196*0.35</f>
        <v>5.32</v>
      </c>
    </row>
    <row r="197" customFormat="false" ht="15" hidden="false" customHeight="false" outlineLevel="0" collapsed="false">
      <c r="A197" s="2" t="s">
        <v>236</v>
      </c>
      <c r="B197" s="3" t="n">
        <v>45788</v>
      </c>
      <c r="C197" s="2" t="s">
        <v>13</v>
      </c>
      <c r="D197" s="2" t="s">
        <v>14</v>
      </c>
      <c r="E197" s="2" t="s">
        <v>53</v>
      </c>
      <c r="F197" s="2" t="s">
        <v>16</v>
      </c>
      <c r="G197" s="2" t="s">
        <v>17</v>
      </c>
      <c r="H197" s="2" t="n">
        <v>7</v>
      </c>
      <c r="I197" s="4" t="n">
        <v>8</v>
      </c>
      <c r="J197" s="4" t="n">
        <f aca="false">H197*I197*(1-K197)</f>
        <v>53.2</v>
      </c>
      <c r="K197" s="5" t="n">
        <v>0.05</v>
      </c>
      <c r="L197" s="4" t="n">
        <f aca="false">J197*0.35</f>
        <v>18.62</v>
      </c>
    </row>
    <row r="198" customFormat="false" ht="15" hidden="false" customHeight="false" outlineLevel="0" collapsed="false">
      <c r="A198" s="2" t="s">
        <v>237</v>
      </c>
      <c r="B198" s="3" t="n">
        <v>45747</v>
      </c>
      <c r="C198" s="2" t="s">
        <v>42</v>
      </c>
      <c r="D198" s="2" t="s">
        <v>59</v>
      </c>
      <c r="E198" s="2" t="s">
        <v>37</v>
      </c>
      <c r="F198" s="2" t="s">
        <v>25</v>
      </c>
      <c r="G198" s="2" t="s">
        <v>21</v>
      </c>
      <c r="H198" s="2" t="n">
        <v>16</v>
      </c>
      <c r="I198" s="4" t="n">
        <v>750</v>
      </c>
      <c r="J198" s="4" t="n">
        <f aca="false">H198*I198*(1-K198)</f>
        <v>10200</v>
      </c>
      <c r="K198" s="5" t="n">
        <v>0.15</v>
      </c>
      <c r="L198" s="4" t="n">
        <f aca="false">J198*0.35</f>
        <v>3570</v>
      </c>
    </row>
    <row r="199" customFormat="false" ht="15" hidden="false" customHeight="false" outlineLevel="0" collapsed="false">
      <c r="A199" s="2" t="s">
        <v>238</v>
      </c>
      <c r="B199" s="3" t="n">
        <v>45694</v>
      </c>
      <c r="C199" s="2" t="s">
        <v>23</v>
      </c>
      <c r="D199" s="2" t="s">
        <v>69</v>
      </c>
      <c r="E199" s="2" t="s">
        <v>19</v>
      </c>
      <c r="F199" s="2" t="s">
        <v>47</v>
      </c>
      <c r="G199" s="2" t="s">
        <v>34</v>
      </c>
      <c r="H199" s="2" t="n">
        <v>17</v>
      </c>
      <c r="I199" s="4" t="n">
        <v>400</v>
      </c>
      <c r="J199" s="4" t="n">
        <f aca="false">H199*I199*(1-K199)</f>
        <v>6120</v>
      </c>
      <c r="K199" s="5" t="n">
        <v>0.1</v>
      </c>
      <c r="L199" s="4" t="n">
        <f aca="false">J199*0.35</f>
        <v>2142</v>
      </c>
    </row>
    <row r="200" customFormat="false" ht="15" hidden="false" customHeight="false" outlineLevel="0" collapsed="false">
      <c r="A200" s="2" t="s">
        <v>239</v>
      </c>
      <c r="B200" s="3" t="n">
        <v>45818</v>
      </c>
      <c r="C200" s="2" t="s">
        <v>27</v>
      </c>
      <c r="D200" s="2" t="s">
        <v>28</v>
      </c>
      <c r="E200" s="2" t="s">
        <v>29</v>
      </c>
      <c r="F200" s="2" t="s">
        <v>25</v>
      </c>
      <c r="G200" s="2" t="s">
        <v>21</v>
      </c>
      <c r="H200" s="2" t="n">
        <v>15</v>
      </c>
      <c r="I200" s="4" t="n">
        <v>750</v>
      </c>
      <c r="J200" s="4" t="n">
        <f aca="false">H200*I200*(1-K200)</f>
        <v>11250</v>
      </c>
      <c r="K200" s="5" t="n">
        <v>0</v>
      </c>
      <c r="L200" s="4" t="n">
        <f aca="false">J200*0.35</f>
        <v>3937.5</v>
      </c>
    </row>
    <row r="201" customFormat="false" ht="15" hidden="false" customHeight="false" outlineLevel="0" collapsed="false">
      <c r="A201" s="2" t="s">
        <v>240</v>
      </c>
      <c r="B201" s="3" t="n">
        <v>45865</v>
      </c>
      <c r="C201" s="2" t="s">
        <v>27</v>
      </c>
      <c r="D201" s="2" t="s">
        <v>31</v>
      </c>
      <c r="E201" s="2" t="s">
        <v>15</v>
      </c>
      <c r="F201" s="2" t="s">
        <v>20</v>
      </c>
      <c r="G201" s="2" t="s">
        <v>21</v>
      </c>
      <c r="H201" s="2" t="n">
        <v>10</v>
      </c>
      <c r="I201" s="4" t="n">
        <v>90</v>
      </c>
      <c r="J201" s="4" t="n">
        <f aca="false">H201*I201*(1-K201)</f>
        <v>900</v>
      </c>
      <c r="K201" s="5" t="n">
        <v>0</v>
      </c>
      <c r="L201" s="4" t="n">
        <f aca="false">J201*0.35</f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2026-08-13T09:49:18Z</dcterms:created>
  <dc:creator>openpyxl</dc:creator>
  <dc:description/>
  <dc:language>en-US</dc:language>
  <cp:lastModifiedBy/>
  <dcterms:modified xsi:type="dcterms:W3CDTF">2026-08-13T09:49:18Z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